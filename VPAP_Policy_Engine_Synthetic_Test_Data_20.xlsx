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showInkAnnotation="0" autoCompressPictures="0"/>
  <xr:revisionPtr revIDLastSave="0" documentId="8_{C2E23440-CD77-4007-ADA0-EAA9A1051F4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st_Cases" sheetId="1" r:id="rId1"/>
    <sheet name="Evidence_Metadata" sheetId="2" r:id="rId2"/>
    <sheet name="Policy_Config" sheetId="3" r:id="rId3"/>
    <sheet name="Field_Guide" sheetId="4" r:id="rId4"/>
    <sheet name="Summary" sheetId="5" r:id="rId5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5" l="1"/>
  <c r="AH24" i="1"/>
  <c r="AG24" i="1"/>
  <c r="AH23" i="1"/>
  <c r="AG23" i="1"/>
  <c r="AH22" i="1"/>
  <c r="AG22" i="1"/>
  <c r="AH21" i="1"/>
  <c r="AG21" i="1"/>
  <c r="AH20" i="1"/>
  <c r="AG20" i="1"/>
  <c r="AH19" i="1"/>
  <c r="AG19" i="1"/>
  <c r="AH18" i="1"/>
  <c r="AG18" i="1"/>
  <c r="AH17" i="1"/>
  <c r="AG17" i="1"/>
  <c r="AH16" i="1"/>
  <c r="AG16" i="1"/>
  <c r="AH15" i="1"/>
  <c r="AG15" i="1"/>
  <c r="AH14" i="1"/>
  <c r="AG14" i="1"/>
  <c r="AH13" i="1"/>
  <c r="AG13" i="1"/>
  <c r="AH12" i="1"/>
  <c r="AG12" i="1"/>
  <c r="AH11" i="1"/>
  <c r="AG11" i="1"/>
  <c r="AH10" i="1"/>
  <c r="AG10" i="1"/>
  <c r="AH9" i="1"/>
  <c r="AG9" i="1"/>
  <c r="AH8" i="1"/>
  <c r="AG8" i="1"/>
  <c r="AH7" i="1"/>
  <c r="AG7" i="1"/>
  <c r="AH6" i="1"/>
  <c r="AG6" i="1"/>
  <c r="AH5" i="1"/>
  <c r="AG5" i="1"/>
  <c r="AP5" i="1" l="1"/>
  <c r="AO5" i="1"/>
  <c r="AL5" i="1"/>
  <c r="AK5" i="1"/>
  <c r="AJ5" i="1"/>
  <c r="AI5" i="1"/>
  <c r="AM5" i="1" s="1"/>
  <c r="AN5" i="1" s="1"/>
  <c r="AP6" i="1"/>
  <c r="AO6" i="1"/>
  <c r="AL6" i="1"/>
  <c r="AK6" i="1"/>
  <c r="AJ6" i="1"/>
  <c r="AI6" i="1"/>
  <c r="AM6" i="1" s="1"/>
  <c r="AN6" i="1" s="1"/>
  <c r="AQ6" i="1" s="1"/>
  <c r="AP7" i="1"/>
  <c r="AO7" i="1"/>
  <c r="AL7" i="1"/>
  <c r="AK7" i="1"/>
  <c r="AJ7" i="1"/>
  <c r="AI7" i="1"/>
  <c r="AM7" i="1" s="1"/>
  <c r="AN7" i="1" s="1"/>
  <c r="AQ7" i="1" s="1"/>
  <c r="AP8" i="1"/>
  <c r="AO8" i="1"/>
  <c r="AL8" i="1"/>
  <c r="AK8" i="1"/>
  <c r="AJ8" i="1"/>
  <c r="AI8" i="1"/>
  <c r="AM8" i="1" s="1"/>
  <c r="AN8" i="1" s="1"/>
  <c r="AQ8" i="1" s="1"/>
  <c r="AP9" i="1"/>
  <c r="AO9" i="1"/>
  <c r="AL9" i="1"/>
  <c r="AK9" i="1"/>
  <c r="AJ9" i="1"/>
  <c r="AI9" i="1"/>
  <c r="AM9" i="1" s="1"/>
  <c r="AN9" i="1" s="1"/>
  <c r="AQ9" i="1" s="1"/>
  <c r="AP10" i="1"/>
  <c r="AO10" i="1"/>
  <c r="AL10" i="1"/>
  <c r="AK10" i="1"/>
  <c r="AJ10" i="1"/>
  <c r="AI10" i="1"/>
  <c r="AM10" i="1" s="1"/>
  <c r="AN10" i="1" s="1"/>
  <c r="AQ10" i="1" s="1"/>
  <c r="AP11" i="1"/>
  <c r="AO11" i="1"/>
  <c r="AL11" i="1"/>
  <c r="AK11" i="1"/>
  <c r="AJ11" i="1"/>
  <c r="AI11" i="1"/>
  <c r="AM11" i="1" s="1"/>
  <c r="AN11" i="1" s="1"/>
  <c r="AQ11" i="1" s="1"/>
  <c r="AP12" i="1"/>
  <c r="AO12" i="1"/>
  <c r="AL12" i="1"/>
  <c r="AK12" i="1"/>
  <c r="AJ12" i="1"/>
  <c r="AI12" i="1"/>
  <c r="AM12" i="1" s="1"/>
  <c r="AN12" i="1" s="1"/>
  <c r="AQ12" i="1" s="1"/>
  <c r="AP13" i="1"/>
  <c r="AO13" i="1"/>
  <c r="AL13" i="1"/>
  <c r="AK13" i="1"/>
  <c r="AJ13" i="1"/>
  <c r="AI13" i="1"/>
  <c r="AM13" i="1" s="1"/>
  <c r="AN13" i="1" s="1"/>
  <c r="AQ13" i="1" s="1"/>
  <c r="AP14" i="1"/>
  <c r="AO14" i="1"/>
  <c r="AN14" i="1"/>
  <c r="AQ14" i="1" s="1"/>
  <c r="AM14" i="1"/>
  <c r="AL14" i="1"/>
  <c r="AK14" i="1"/>
  <c r="AJ14" i="1"/>
  <c r="AI14" i="1"/>
  <c r="AP15" i="1"/>
  <c r="AO15" i="1"/>
  <c r="AN15" i="1"/>
  <c r="AQ15" i="1" s="1"/>
  <c r="AM15" i="1"/>
  <c r="AL15" i="1"/>
  <c r="AK15" i="1"/>
  <c r="AJ15" i="1"/>
  <c r="AI15" i="1"/>
  <c r="AP16" i="1"/>
  <c r="AO16" i="1"/>
  <c r="AL16" i="1"/>
  <c r="AK16" i="1"/>
  <c r="AJ16" i="1"/>
  <c r="AI16" i="1"/>
  <c r="AM16" i="1" s="1"/>
  <c r="AN16" i="1" s="1"/>
  <c r="AQ16" i="1" s="1"/>
  <c r="AP17" i="1"/>
  <c r="AO17" i="1"/>
  <c r="AL17" i="1"/>
  <c r="AK17" i="1"/>
  <c r="AJ17" i="1"/>
  <c r="AI17" i="1"/>
  <c r="AM17" i="1" s="1"/>
  <c r="AN17" i="1" s="1"/>
  <c r="AQ17" i="1" s="1"/>
  <c r="AP18" i="1"/>
  <c r="AO18" i="1"/>
  <c r="AL18" i="1"/>
  <c r="AK18" i="1"/>
  <c r="AJ18" i="1"/>
  <c r="AI18" i="1"/>
  <c r="AM18" i="1" s="1"/>
  <c r="AN18" i="1" s="1"/>
  <c r="AQ18" i="1" s="1"/>
  <c r="AP19" i="1"/>
  <c r="AO19" i="1"/>
  <c r="AL19" i="1"/>
  <c r="AK19" i="1"/>
  <c r="AJ19" i="1"/>
  <c r="AI19" i="1"/>
  <c r="AM19" i="1" s="1"/>
  <c r="AN19" i="1" s="1"/>
  <c r="AQ19" i="1" s="1"/>
  <c r="AP20" i="1"/>
  <c r="AO20" i="1"/>
  <c r="AN20" i="1"/>
  <c r="AQ20" i="1" s="1"/>
  <c r="AM20" i="1"/>
  <c r="AL20" i="1"/>
  <c r="AK20" i="1"/>
  <c r="AJ20" i="1"/>
  <c r="AI20" i="1"/>
  <c r="AP21" i="1"/>
  <c r="AO21" i="1"/>
  <c r="AL21" i="1"/>
  <c r="AK21" i="1"/>
  <c r="AJ21" i="1"/>
  <c r="AI21" i="1"/>
  <c r="AM21" i="1" s="1"/>
  <c r="AN21" i="1" s="1"/>
  <c r="AQ21" i="1" s="1"/>
  <c r="AP22" i="1"/>
  <c r="AO22" i="1"/>
  <c r="AL22" i="1"/>
  <c r="AK22" i="1"/>
  <c r="AJ22" i="1"/>
  <c r="AI22" i="1"/>
  <c r="AM22" i="1" s="1"/>
  <c r="AN22" i="1" s="1"/>
  <c r="AQ22" i="1" s="1"/>
  <c r="AP23" i="1"/>
  <c r="AO23" i="1"/>
  <c r="AL23" i="1"/>
  <c r="AK23" i="1"/>
  <c r="AJ23" i="1"/>
  <c r="AI23" i="1"/>
  <c r="AM23" i="1" s="1"/>
  <c r="AN23" i="1" s="1"/>
  <c r="AQ23" i="1" s="1"/>
  <c r="AP24" i="1"/>
  <c r="AO24" i="1"/>
  <c r="AN24" i="1"/>
  <c r="AQ24" i="1" s="1"/>
  <c r="AM24" i="1"/>
  <c r="AL24" i="1"/>
  <c r="AK24" i="1"/>
  <c r="AJ24" i="1"/>
  <c r="AI24" i="1"/>
  <c r="B10" i="5" l="1"/>
  <c r="B9" i="5"/>
  <c r="B8" i="5"/>
  <c r="B7" i="5"/>
  <c r="B6" i="5"/>
  <c r="AQ5" i="1"/>
  <c r="E6" i="5"/>
  <c r="E5" i="5"/>
  <c r="E9" i="5" l="1"/>
  <c r="E8" i="5"/>
  <c r="E7" i="5"/>
</calcChain>
</file>

<file path=xl/sharedStrings.xml><?xml version="1.0" encoding="utf-8"?>
<sst xmlns="http://schemas.openxmlformats.org/spreadsheetml/2006/main" count="2238" uniqueCount="520">
  <si>
    <t>VPAP 4.1 Policy Engine - 20 Synthetic Test Cases</t>
  </si>
  <si>
    <t>All records are synthetic test fixtures. CVE-shaped IDs, assets, timestamps, and evidence values are designed to resemble production data without containing real organizational data.</t>
  </si>
  <si>
    <t>Test_Case_ID</t>
  </si>
  <si>
    <t>Record_Type</t>
  </si>
  <si>
    <t>Finding_Instance_ID</t>
  </si>
  <si>
    <t>Source_System</t>
  </si>
  <si>
    <t>Source_Finding_ID</t>
  </si>
  <si>
    <t>CVE_ID</t>
  </si>
  <si>
    <t>Asset_ID</t>
  </si>
  <si>
    <t>Asset_Name</t>
  </si>
  <si>
    <t>Package</t>
  </si>
  <si>
    <t>Installed_Version</t>
  </si>
  <si>
    <t>CVSS_Base_Score</t>
  </si>
  <si>
    <t>Description</t>
  </si>
  <si>
    <t>EPSS_Probability</t>
  </si>
  <si>
    <t>EPSS_Status</t>
  </si>
  <si>
    <t>EPSS_Percentile</t>
  </si>
  <si>
    <t>KEV_Value</t>
  </si>
  <si>
    <t>KEV_Status</t>
  </si>
  <si>
    <t>Internet_Exposure</t>
  </si>
  <si>
    <t>Internet_Status</t>
  </si>
  <si>
    <t>Runtime_Applicability</t>
  </si>
  <si>
    <t>Runtime_Status</t>
  </si>
  <si>
    <t>Attack_Path_Reachable</t>
  </si>
  <si>
    <t>Attack_Path_Status</t>
  </si>
  <si>
    <t>Business_Criticality</t>
  </si>
  <si>
    <t>Business_Status</t>
  </si>
  <si>
    <t>Compensating_Controls</t>
  </si>
  <si>
    <t>Internal_Active_Exploitation</t>
  </si>
  <si>
    <t>Evidence_Sources</t>
  </si>
  <si>
    <t>Retrieved_At</t>
  </si>
  <si>
    <t>Evidence_Confidence</t>
  </si>
  <si>
    <t>Evidence_Snapshot_ID</t>
  </si>
  <si>
    <t>Policy_Version</t>
  </si>
  <si>
    <t>Quality_Check</t>
  </si>
  <si>
    <t>Mandatory_Remediation</t>
  </si>
  <si>
    <t>Exploitation_Points</t>
  </si>
  <si>
    <t>Exposure_Points</t>
  </si>
  <si>
    <t>Technical_Impact_Points</t>
  </si>
  <si>
    <t>Business_Impact_Points</t>
  </si>
  <si>
    <t>VPS</t>
  </si>
  <si>
    <t>Expected_Priority</t>
  </si>
  <si>
    <t>Expected_Decision_Status</t>
  </si>
  <si>
    <t>Expected_Confidence</t>
  </si>
  <si>
    <t>Expected_Ticket_Action</t>
  </si>
  <si>
    <t>Expected_Rules_Applied</t>
  </si>
  <si>
    <t>Scenario_Notes</t>
  </si>
  <si>
    <t>SYN-001</t>
  </si>
  <si>
    <t>SYNTHETIC_TEST_CASE</t>
  </si>
  <si>
    <t>finding-8f31a2</t>
  </si>
  <si>
    <t>WIZ</t>
  </si>
  <si>
    <t>wiz-finding-001</t>
  </si>
  <si>
    <t>CVE-2026-99001</t>
  </si>
  <si>
    <t>asset-payments-api-prod-01</t>
  </si>
  <si>
    <t>Production payment API server</t>
  </si>
  <si>
    <t>log4j-core</t>
  </si>
  <si>
    <t>2.14.1</t>
  </si>
  <si>
    <t>Remote code execution in application logging path</t>
  </si>
  <si>
    <t>KNOWN</t>
  </si>
  <si>
    <t>CRITICAL</t>
  </si>
  <si>
    <t>WAF blocks JNDI patterns; LDAP egress restricted</t>
  </si>
  <si>
    <t>WIZ;CMDB;FIRST_EPSS;CISA_KEV</t>
  </si>
  <si>
    <t>HIGH</t>
  </si>
  <si>
    <t>snapshot-20260809-000145</t>
  </si>
  <si>
    <t>2026.07-pilot.1</t>
  </si>
  <si>
    <t>SSVC.EXPLOITATION.ACTIVE | SSVC.AUTOMATABLE.YES | SSVC.TECHNICAL_IMPACT.HIGH | SSVC.BUSINESS_IMPACT.HIGH | VPS.THRESHOLD.P0</t>
  </si>
  <si>
    <t>High-confidence P0 KEV scenario.</t>
  </si>
  <si>
    <t>SYN-002</t>
  </si>
  <si>
    <t>finding-8f31a3</t>
  </si>
  <si>
    <t>wiz-finding-002</t>
  </si>
  <si>
    <t>CVE-2026-99002</t>
  </si>
  <si>
    <t>asset-customer-portal-prod-02</t>
  </si>
  <si>
    <t>Customer portal web tier</t>
  </si>
  <si>
    <t>apache-tomcat</t>
  </si>
  <si>
    <t>9.0.82</t>
  </si>
  <si>
    <t>Authentication bypass in public web service</t>
  </si>
  <si>
    <t>Managed WAF; rate limiting</t>
  </si>
  <si>
    <t>snapshot-20260809-000146</t>
  </si>
  <si>
    <t>SSVC.EXPLOITATION.ACTIVE | SSVC.AUTOMATABLE.YES | SSVC.TECHNICAL_IMPACT.HIGH | VPS.THRESHOLD.P0</t>
  </si>
  <si>
    <t>KEV and internet-facing application.</t>
  </si>
  <si>
    <t>SYN-003</t>
  </si>
  <si>
    <t>finding-8f31a4</t>
  </si>
  <si>
    <t>wiz-finding-003</t>
  </si>
  <si>
    <t>CVE-2026-99003</t>
  </si>
  <si>
    <t>asset-ledger-worker-prod-01</t>
  </si>
  <si>
    <t>Internal ledger processing worker</t>
  </si>
  <si>
    <t>openssl</t>
  </si>
  <si>
    <t>3.0.8</t>
  </si>
  <si>
    <t>Remote code execution in internal processing component</t>
  </si>
  <si>
    <t>Private subnet; egress allowlist</t>
  </si>
  <si>
    <t>snapshot-20260809-000147</t>
  </si>
  <si>
    <t>SSVC.EXPLOITATION.ELEVATED | SSVC.ATTACK_PATH.REACHABLE | SSVC.BUSINESS_IMPACT.HIGH | VPS.THRESHOLD.P1</t>
  </si>
  <si>
    <t>Internal but reachable through approved service path.</t>
  </si>
  <si>
    <t>SYN-004</t>
  </si>
  <si>
    <t>finding-8f31a5</t>
  </si>
  <si>
    <t>wiz-finding-004</t>
  </si>
  <si>
    <t>CVE-2026-99004</t>
  </si>
  <si>
    <t>asset-edge-proxy-prod-01</t>
  </si>
  <si>
    <t>Internet edge reverse proxy</t>
  </si>
  <si>
    <t>nginx</t>
  </si>
  <si>
    <t>1.24.0</t>
  </si>
  <si>
    <t>HTTP/2 denial-of-service condition</t>
  </si>
  <si>
    <t>Connection limits; autoscaling</t>
  </si>
  <si>
    <t>snapshot-20260809-000148</t>
  </si>
  <si>
    <t>SSVC.EXPLOITATION.ELEVATED | SSVC.AUTOMATABLE.YES | SSVC.BUSINESS_IMPACT.HIGH | VPS.THRESHOLD.P1</t>
  </si>
  <si>
    <t>Publicly reachable, high business service impact.</t>
  </si>
  <si>
    <t>SYN-005</t>
  </si>
  <si>
    <t>finding-8f31a6</t>
  </si>
  <si>
    <t>wiz-finding-005</t>
  </si>
  <si>
    <t>CVE-2026-99005</t>
  </si>
  <si>
    <t>asset-remote-access-prod-01</t>
  </si>
  <si>
    <t>Remote access VPN gateway</t>
  </si>
  <si>
    <t>vpn-gateway</t>
  </si>
  <si>
    <t>8.4.2</t>
  </si>
  <si>
    <t>Command injection through VPN administration endpoint</t>
  </si>
  <si>
    <t>MFA; management interface restricted</t>
  </si>
  <si>
    <t>snapshot-20260809-000149</t>
  </si>
  <si>
    <t>Confirmed exploitation with high-value perimeter access.</t>
  </si>
  <si>
    <t>SYN-006</t>
  </si>
  <si>
    <t>finding-8f31a7</t>
  </si>
  <si>
    <t>wiz-finding-006</t>
  </si>
  <si>
    <t>CVE-2026-99006</t>
  </si>
  <si>
    <t>asset-reporting-db-prod-01</t>
  </si>
  <si>
    <t>Reporting database cluster</t>
  </si>
  <si>
    <t>postgresql-extension</t>
  </si>
  <si>
    <t>15.3</t>
  </si>
  <si>
    <t>Privilege escalation through database extension</t>
  </si>
  <si>
    <t>Database role separation; private subnet</t>
  </si>
  <si>
    <t>snapshot-20260809-000150</t>
  </si>
  <si>
    <t>SSVC.EXPLOITATION.MODERATE | SSVC.ATTACK_PATH.NOT_REACHABLE | VPS.THRESHOLD.P2</t>
  </si>
  <si>
    <t>No reachable attack path currently confirmed.</t>
  </si>
  <si>
    <t>SYN-007</t>
  </si>
  <si>
    <t>finding-8f31a8</t>
  </si>
  <si>
    <t>wiz-finding-007</t>
  </si>
  <si>
    <t>CVE-2026-99007</t>
  </si>
  <si>
    <t>asset-ci-jenkins-prod-01</t>
  </si>
  <si>
    <t>CI/CD Jenkins controller</t>
  </si>
  <si>
    <t>jenkins-core</t>
  </si>
  <si>
    <t>2.401.3</t>
  </si>
  <si>
    <t>Authentication weakness in build administration endpoint</t>
  </si>
  <si>
    <t>MEDIUM</t>
  </si>
  <si>
    <t>SSO; IP allowlist; build isolation</t>
  </si>
  <si>
    <t>snapshot-20260809-000151</t>
  </si>
  <si>
    <t>SSVC.EXPLOITATION.LOW | SSVC.AUTOMATABLE.YES | SSVC.BUSINESS_IMPACT.MEDIUM | VPS.THRESHOLD.P2</t>
  </si>
  <si>
    <t>Internet reachable but protected by an IP allowlist.</t>
  </si>
  <si>
    <t>SYN-008</t>
  </si>
  <si>
    <t>finding-8f31a9</t>
  </si>
  <si>
    <t>wiz-finding-008</t>
  </si>
  <si>
    <t>CVE-2026-99008</t>
  </si>
  <si>
    <t>asset-batch-worker-prod-03</t>
  </si>
  <si>
    <t>Batch processing worker</t>
  </si>
  <si>
    <t>linux-kernel</t>
  </si>
  <si>
    <t>5.15.0</t>
  </si>
  <si>
    <t>Local privilege escalation in kernel subsystem</t>
  </si>
  <si>
    <t>Non-root container; host hardening</t>
  </si>
  <si>
    <t>snapshot-20260809-000152</t>
  </si>
  <si>
    <t>SSVC.EXPLOITATION.LOW | SSVC.ATTACK_PATH.NOT_REACHABLE | VPS.THRESHOLD.P2</t>
  </si>
  <si>
    <t>Requires local access; no external route identified.</t>
  </si>
  <si>
    <t>SYN-009</t>
  </si>
  <si>
    <t>finding-8f31aa</t>
  </si>
  <si>
    <t>wiz-finding-009</t>
  </si>
  <si>
    <t>CVE-2026-99009</t>
  </si>
  <si>
    <t>asset-observability-prod-01</t>
  </si>
  <si>
    <t>Observability dashboard</t>
  </si>
  <si>
    <t>grafana</t>
  </si>
  <si>
    <t>10.1.5</t>
  </si>
  <si>
    <t>Authentication bypass in dashboard service</t>
  </si>
  <si>
    <t>SSO; read-only default role</t>
  </si>
  <si>
    <t>snapshot-20260809-000153</t>
  </si>
  <si>
    <t>SSVC.EXPLOITATION.MODERATE | SSVC.AUTOMATABLE.YES | SSVC.BUSINESS_IMPACT.HIGH | VPS.THRESHOLD.P1</t>
  </si>
  <si>
    <t>Public dashboard with high-value operational metadata.</t>
  </si>
  <si>
    <t>SYN-010</t>
  </si>
  <si>
    <t>finding-8f31ab</t>
  </si>
  <si>
    <t>wiz-finding-010</t>
  </si>
  <si>
    <t>CVE-2026-99010</t>
  </si>
  <si>
    <t>asset-ml-api-prod-01</t>
  </si>
  <si>
    <t>Machine-learning inference API</t>
  </si>
  <si>
    <t>python-pickle-loader</t>
  </si>
  <si>
    <t>1.8.0</t>
  </si>
  <si>
    <t>Unsafe deserialization in model loading endpoint</t>
  </si>
  <si>
    <t>ERROR</t>
  </si>
  <si>
    <t>Payload schema validation; egress filtering</t>
  </si>
  <si>
    <t>WIZ;CMDB;FIRST_EPSS_ERROR;CISA_KEV_ERROR</t>
  </si>
  <si>
    <t>LOW</t>
  </si>
  <si>
    <t>snapshot-20260809-000154</t>
  </si>
  <si>
    <t>QUALITY.CRITICAL_SOURCE_ERROR | ROUTE.NEEDS_REVIEW</t>
  </si>
  <si>
    <t>Both threat-intelligence feeds failed; no final score allowed.</t>
  </si>
  <si>
    <t>SYN-011</t>
  </si>
  <si>
    <t>finding-8f31ac</t>
  </si>
  <si>
    <t>wiz-finding-011</t>
  </si>
  <si>
    <t>CVE-2026-99011</t>
  </si>
  <si>
    <t>asset-node-api-prod-02</t>
  </si>
  <si>
    <t>Node.js customer API</t>
  </si>
  <si>
    <t>lodash</t>
  </si>
  <si>
    <t>4.17.20</t>
  </si>
  <si>
    <t>Prototype pollution in request transformation library</t>
  </si>
  <si>
    <t>STALE</t>
  </si>
  <si>
    <t>Input schema validation; API gateway</t>
  </si>
  <si>
    <t>WIZ;CMDB;FIRST_EPSS_LAST_KNOWN;CISA_KEV_LAST_KNOWN</t>
  </si>
  <si>
    <t>snapshot-20260809-000155</t>
  </si>
  <si>
    <t>QUALITY.STALE_SOURCE | ROUTE.NEEDS_REVIEW</t>
  </si>
  <si>
    <t>Last-known-good feed exceeds warning age for this test case.</t>
  </si>
  <si>
    <t>SYN-012</t>
  </si>
  <si>
    <t>finding-8f31ad</t>
  </si>
  <si>
    <t>wiz-finding-012</t>
  </si>
  <si>
    <t>CVE-2026-99012</t>
  </si>
  <si>
    <t>asset-media-worker-prod-01</t>
  </si>
  <si>
    <t>Media processing worker</t>
  </si>
  <si>
    <t>imagemagick</t>
  </si>
  <si>
    <t>7.1.1-10</t>
  </si>
  <si>
    <t>Parser issue in image processing library</t>
  </si>
  <si>
    <t>Package present but code path disabled</t>
  </si>
  <si>
    <t>snapshot-20260809-000156</t>
  </si>
  <si>
    <t>SSVC.RUNTIME_APPLICABILITY.FALSE | SSVC.ATTACK_PATH.NOT_REACHABLE | VPS.THRESHOLD.P3</t>
  </si>
  <si>
    <t>Package is present but the vulnerable runtime path is not loaded.</t>
  </si>
  <si>
    <t>SYN-013</t>
  </si>
  <si>
    <t>finding-8f31ae</t>
  </si>
  <si>
    <t>wiz-finding-013</t>
  </si>
  <si>
    <t>CVE-2026-99013</t>
  </si>
  <si>
    <t>asset-order-service-prod-01</t>
  </si>
  <si>
    <t>Order service application</t>
  </si>
  <si>
    <t>weblogic-server</t>
  </si>
  <si>
    <t>14.1.1</t>
  </si>
  <si>
    <t>Remote code execution in application server</t>
  </si>
  <si>
    <t>WAF; restricted admin console</t>
  </si>
  <si>
    <t>snapshot-20260809-000157</t>
  </si>
  <si>
    <t>SSVC.EXPLOITATION.HIGH | SSVC.AUTOMATABLE.YES | SSVC.TECHNICAL_IMPACT.HIGH | VPS.THRESHOLD.P0</t>
  </si>
  <si>
    <t>High EPSS without KEV; still crosses P0 threshold.</t>
  </si>
  <si>
    <t>SYN-014</t>
  </si>
  <si>
    <t>finding-8f31af</t>
  </si>
  <si>
    <t>wiz-finding-014</t>
  </si>
  <si>
    <t>CVE-2026-99014</t>
  </si>
  <si>
    <t>asset-dev-gitlab-prod-01</t>
  </si>
  <si>
    <t>Developer collaboration platform</t>
  </si>
  <si>
    <t>gitlab-ce</t>
  </si>
  <si>
    <t>16.3.1</t>
  </si>
  <si>
    <t>Stored cross-site scripting in project administration</t>
  </si>
  <si>
    <t>Content security policy; SSO</t>
  </si>
  <si>
    <t>snapshot-20260809-000158</t>
  </si>
  <si>
    <t>SSVC.EXPLOITATION.LOW | SSVC.AUTOMATABLE.YES | VPS.THRESHOLD.P2</t>
  </si>
  <si>
    <t>Lower exploit probability and moderate service impact.</t>
  </si>
  <si>
    <t>SYN-015</t>
  </si>
  <si>
    <t>finding-8f31b0</t>
  </si>
  <si>
    <t>wiz-finding-015</t>
  </si>
  <si>
    <t>CVE-2026-99015</t>
  </si>
  <si>
    <t>asset-cache-cluster-prod-01</t>
  </si>
  <si>
    <t>Internal caching cluster</t>
  </si>
  <si>
    <t>redis</t>
  </si>
  <si>
    <t>7.0.12</t>
  </si>
  <si>
    <t>Command injection through cache administration interface</t>
  </si>
  <si>
    <t>Network segmentation; ACLs</t>
  </si>
  <si>
    <t>WIZ;CMDB;FIRST_EPSS;CISA_KEV;INTERNAL_THREAT_INTEL</t>
  </si>
  <si>
    <t>snapshot-20260809-000159</t>
  </si>
  <si>
    <t>INTERNAL_ACTIVE_EXPLOITATION | SSVC.AUTOMATABLE.PARTIAL | SSVC.BUSINESS_IMPACT.HIGH | VPS.THRESHOLD.P1</t>
  </si>
  <si>
    <t>Internal threat intelligence confirms active exploitation; mandatory remediation is true even though KEV is false.</t>
  </si>
  <si>
    <t>SYN-016</t>
  </si>
  <si>
    <t>finding-8f31b1</t>
  </si>
  <si>
    <t>wiz-finding-016</t>
  </si>
  <si>
    <t>CVE-2026-99016</t>
  </si>
  <si>
    <t>asset-orders-db-prod-01</t>
  </si>
  <si>
    <t>Orders database service</t>
  </si>
  <si>
    <t>jdbc-driver</t>
  </si>
  <si>
    <t>42.6.0</t>
  </si>
  <si>
    <t>SQL injection in database-backed order query</t>
  </si>
  <si>
    <t>UNKNOWN</t>
  </si>
  <si>
    <t>Parameterized queries on known routes</t>
  </si>
  <si>
    <t>WIZ;CMDB;FIRST_EPSS;CISA_KEV;ATTACK_PATH_PENDING</t>
  </si>
  <si>
    <t>snapshot-20260809-000160</t>
  </si>
  <si>
    <t>QUALITY.ATTACK_PATH_UNKNOWN | ROUTE.NEEDS_REVIEW</t>
  </si>
  <si>
    <t>High threat indicators but reachability evidence is not yet confirmed.</t>
  </si>
  <si>
    <t>SYN-017</t>
  </si>
  <si>
    <t>finding-8f31b2</t>
  </si>
  <si>
    <t>wiz-finding-017</t>
  </si>
  <si>
    <t>CVE-2026-99017</t>
  </si>
  <si>
    <t>asset-mail-exchange-prod-01</t>
  </si>
  <si>
    <t>Enterprise mail server</t>
  </si>
  <si>
    <t>exchange-server</t>
  </si>
  <si>
    <t>2019-cu12</t>
  </si>
  <si>
    <t>Authentication bypass in mail access service</t>
  </si>
  <si>
    <t>MFA for admin; mail gateway filtering</t>
  </si>
  <si>
    <t>snapshot-20260809-000161</t>
  </si>
  <si>
    <t>P0 KEV finding on a business-critical service.</t>
  </si>
  <si>
    <t>SYN-018</t>
  </si>
  <si>
    <t>finding-8f31b3</t>
  </si>
  <si>
    <t>wiz-finding-018</t>
  </si>
  <si>
    <t>CVE-2026-99018</t>
  </si>
  <si>
    <t>asset-k8s-dashboard-prod-01</t>
  </si>
  <si>
    <t>Kubernetes dashboard</t>
  </si>
  <si>
    <t>kubernetes-dashboard</t>
  </si>
  <si>
    <t>2.7.0</t>
  </si>
  <si>
    <t>Authorization weakness in cluster dashboard</t>
  </si>
  <si>
    <t>Private ingress; RBAC; network policy</t>
  </si>
  <si>
    <t>snapshot-20260809-000162</t>
  </si>
  <si>
    <t>SSVC.EXPLOITATION.LOW | SSVC.ATTACK_PATH.NOT_REACHABLE | VPS.THRESHOLD.P3</t>
  </si>
  <si>
    <t>Private dashboard with no confirmed attack path.</t>
  </si>
  <si>
    <t>SYN-019</t>
  </si>
  <si>
    <t>finding-8f31b4</t>
  </si>
  <si>
    <t>wiz-finding-019</t>
  </si>
  <si>
    <t>CVE-2026-99019</t>
  </si>
  <si>
    <t>asset-auth-api-prod-01</t>
  </si>
  <si>
    <t>Identity and authentication API</t>
  </si>
  <si>
    <t>jvm-logging-library</t>
  </si>
  <si>
    <t>2.19.0</t>
  </si>
  <si>
    <t>Remote code execution through logging interpolation</t>
  </si>
  <si>
    <t>WAF; outbound DNS policy</t>
  </si>
  <si>
    <t>snapshot-20260809-000163</t>
  </si>
  <si>
    <t>High-impact identity service with public exposure.</t>
  </si>
  <si>
    <t>SYN-020</t>
  </si>
  <si>
    <t>finding-8f31b5</t>
  </si>
  <si>
    <t>wiz-finding-020</t>
  </si>
  <si>
    <t>CVE-2026-99020</t>
  </si>
  <si>
    <t>asset-file-transfer-prod-01</t>
  </si>
  <si>
    <t>Managed file transfer service</t>
  </si>
  <si>
    <t>sftp-server</t>
  </si>
  <si>
    <t>4.3.1</t>
  </si>
  <si>
    <t>Path traversal in file transfer request handling</t>
  </si>
  <si>
    <t>Chroot directory; file allowlist</t>
  </si>
  <si>
    <t>WIZ;CMDB_PENDING;FIRST_EPSS;CISA_KEV</t>
  </si>
  <si>
    <t>snapshot-20260809-000164</t>
  </si>
  <si>
    <t>QUALITY.BUSINESS_CONTEXT_UNKNOWN | ROUTE.NEEDS_REVIEW</t>
  </si>
  <si>
    <t>Business criticality is awaiting authoritative CMDB confirmation.</t>
  </si>
  <si>
    <t>EvidenceValue Metadata - Synthetic Fixtures</t>
  </si>
  <si>
    <t>This sheet models the source, freshness, status, timestamp, and confidence attached to each evidence value.</t>
  </si>
  <si>
    <t>Field_Name</t>
  </si>
  <si>
    <t>Value</t>
  </si>
  <si>
    <t>Value_Type</t>
  </si>
  <si>
    <t>Status</t>
  </si>
  <si>
    <t>Source</t>
  </si>
  <si>
    <t>Source_Timestamp</t>
  </si>
  <si>
    <t>Confidence</t>
  </si>
  <si>
    <t>Processing_Note</t>
  </si>
  <si>
    <t>CVSS_BASE_SCORE</t>
  </si>
  <si>
    <t>number</t>
  </si>
  <si>
    <t>NVD_OR_SCANNER</t>
  </si>
  <si>
    <t>Severity baseline; validated 0-10.</t>
  </si>
  <si>
    <t>EPSS_PROBABILITY</t>
  </si>
  <si>
    <t>FIRST_EPSS</t>
  </si>
  <si>
    <t>Used as exploitation factor only when fresh and known.</t>
  </si>
  <si>
    <t>EPSS_PERCENTILE</t>
  </si>
  <si>
    <t>Ranking/context only; never treated as probability.</t>
  </si>
  <si>
    <t>KEV_STATUS</t>
  </si>
  <si>
    <t>boolean</t>
  </si>
  <si>
    <t>CISA_KEV</t>
  </si>
  <si>
    <t>Known true or internal active exploitation creates mandatory remediation.</t>
  </si>
  <si>
    <t>INTERNET_EXPOSURE</t>
  </si>
  <si>
    <t>WIZ_ASSET_GRAPH</t>
  </si>
  <si>
    <t>Contributes to exposure urgency.</t>
  </si>
  <si>
    <t>RUNTIME_APPLICABILITY</t>
  </si>
  <si>
    <t>WIZ_RUNTIME_INVENTORY</t>
  </si>
  <si>
    <t>Confirms whether vulnerable code is loaded and used.</t>
  </si>
  <si>
    <t>ATTACK_PATH_REACHABLE</t>
  </si>
  <si>
    <t>WIZ_ATTACK_PATH</t>
  </si>
  <si>
    <t>Required for reachability-based priority.</t>
  </si>
  <si>
    <t>BUSINESS_CRITICALITY</t>
  </si>
  <si>
    <t>string</t>
  </si>
  <si>
    <t>CMDB</t>
  </si>
  <si>
    <t>Must come from authoritative business context.</t>
  </si>
  <si>
    <t>FIRST_EPSS_LAST_KNOWN</t>
  </si>
  <si>
    <t>CISA_KEV_LAST_KNOWN</t>
  </si>
  <si>
    <t>ATTACK_PATH_PENDING</t>
  </si>
  <si>
    <t>CMDB_PENDING</t>
  </si>
  <si>
    <t>VPAP 4.1 Synthetic Test Policy Configuration</t>
  </si>
  <si>
    <t>Example calibration policy for testing only. Production weights and thresholds require organizational approval and historical calibration.</t>
  </si>
  <si>
    <t>Priority threshold</t>
  </si>
  <si>
    <t>Minimum VPS</t>
  </si>
  <si>
    <t>Meaning</t>
  </si>
  <si>
    <t>Policy metadata</t>
  </si>
  <si>
    <t>P0</t>
  </si>
  <si>
    <t>Highest urgency</t>
  </si>
  <si>
    <t>Policy version</t>
  </si>
  <si>
    <t>P1</t>
  </si>
  <si>
    <t>High urgency</t>
  </si>
  <si>
    <t>Synthetic data date</t>
  </si>
  <si>
    <t>P2</t>
  </si>
  <si>
    <t>Moderate urgency</t>
  </si>
  <si>
    <t>P3</t>
  </si>
  <si>
    <t>Lower urgency</t>
  </si>
  <si>
    <t>Reference</t>
  </si>
  <si>
    <t>URL</t>
  </si>
  <si>
    <t>FIRST EPSS API</t>
  </si>
  <si>
    <t>https://api.first.org/data/v1/epss</t>
  </si>
  <si>
    <t>Exploitation component</t>
  </si>
  <si>
    <t>Points</t>
  </si>
  <si>
    <t>Threshold</t>
  </si>
  <si>
    <t>Condition</t>
  </si>
  <si>
    <t>CISA KEV catalog</t>
  </si>
  <si>
    <t>https://www.cisa.gov/known-exploited-vulnerabilities-catalog</t>
  </si>
  <si>
    <t>KEV or internal active exploitation</t>
  </si>
  <si>
    <t>Mandatory remediation is true</t>
  </si>
  <si>
    <t>EPSS high</t>
  </si>
  <si>
    <t>EPSS probability &gt;= 0.90</t>
  </si>
  <si>
    <t>EPSS elevated</t>
  </si>
  <si>
    <t>EPSS probability &gt;= 0.70</t>
  </si>
  <si>
    <t>EPSS moderate</t>
  </si>
  <si>
    <t>EPSS probability &gt;= 0.30</t>
  </si>
  <si>
    <t>EPSS low</t>
  </si>
  <si>
    <t>EPSS probability &lt; 0.30</t>
  </si>
  <si>
    <t>Exposure component</t>
  </si>
  <si>
    <t>Internet and attack path true</t>
  </si>
  <si>
    <t>Both are confirmed true</t>
  </si>
  <si>
    <t>One exposure indicator true</t>
  </si>
  <si>
    <t>Either is confirmed true</t>
  </si>
  <si>
    <t>No exposure indicator true</t>
  </si>
  <si>
    <t>Neither is confirmed true</t>
  </si>
  <si>
    <t>Technical impact component</t>
  </si>
  <si>
    <t>Runtime not applicable</t>
  </si>
  <si>
    <t>Vulnerable code path is not loaded</t>
  </si>
  <si>
    <t>High CVSS</t>
  </si>
  <si>
    <t>CVSS &gt;= 9.0 and runtime applicable</t>
  </si>
  <si>
    <t>Medium CVSS</t>
  </si>
  <si>
    <t>CVSS &gt;= 7.0 and runtime applicable</t>
  </si>
  <si>
    <t>Lower CVSS</t>
  </si>
  <si>
    <t>CVSS &lt; 7.0 and runtime applicable</t>
  </si>
  <si>
    <t>Business impact component</t>
  </si>
  <si>
    <t>Critical</t>
  </si>
  <si>
    <t>Critical business service</t>
  </si>
  <si>
    <t>High</t>
  </si>
  <si>
    <t>High business service</t>
  </si>
  <si>
    <t>Medium</t>
  </si>
  <si>
    <t>Medium business service</t>
  </si>
  <si>
    <t>Low</t>
  </si>
  <si>
    <t>Low business service</t>
  </si>
  <si>
    <t>Policy Engine Test Data Field Guide</t>
  </si>
  <si>
    <t>Use this sheet to interpret the synthetic input fields and formula-driven expected outputs.</t>
  </si>
  <si>
    <t>Field</t>
  </si>
  <si>
    <t>Type</t>
  </si>
  <si>
    <t>Example</t>
  </si>
  <si>
    <t>Where Used</t>
  </si>
  <si>
    <t>Processing Rule</t>
  </si>
  <si>
    <t>Output / Safety Note</t>
  </si>
  <si>
    <t>Trace and idempotency</t>
  </si>
  <si>
    <t>Identify one vulnerability on one asset.</t>
  </si>
  <si>
    <t>Never duplicate the same logical finding.</t>
  </si>
  <si>
    <t>Evidence joins</t>
  </si>
  <si>
    <t>Validate CVE pattern and normalize casing.</t>
  </si>
  <si>
    <t>Links EPSS, KEV, and evidence records.</t>
  </si>
  <si>
    <t>Asset context</t>
  </si>
  <si>
    <t>Join to CMDB/Wiz context.</t>
  </si>
  <si>
    <t>Do not infer criticality from asset name alone.</t>
  </si>
  <si>
    <t>Severity component</t>
  </si>
  <si>
    <t>Validate 0-10.</t>
  </si>
  <si>
    <t>Never determines final priority alone.</t>
  </si>
  <si>
    <t>Use only if status is KNOWN and fresh.</t>
  </si>
  <si>
    <t>Never convert ERROR/UNKNOWN to zero.</t>
  </si>
  <si>
    <t>Ranking context</t>
  </si>
  <si>
    <t>Keep separate from probability.</t>
  </si>
  <si>
    <t>Not used as exploitation probability.</t>
  </si>
  <si>
    <t>boolean + status</t>
  </si>
  <si>
    <t>Mandatory remediation</t>
  </si>
  <si>
    <t>Known true or internal active exploitation sets mandatory flag.</t>
  </si>
  <si>
    <t>Unknown is not false.</t>
  </si>
  <si>
    <t>Combine with attack path reachability.</t>
  </si>
  <si>
    <t>Increases urgency when confirmed.</t>
  </si>
  <si>
    <t>Applicability gate</t>
  </si>
  <si>
    <t>Confirm vulnerable code path is loaded.</t>
  </si>
  <si>
    <t>False can reduce or remove technical impact.</t>
  </si>
  <si>
    <t>Use confirmed routing/access evidence.</t>
  </si>
  <si>
    <t>Unknown can block final decision.</t>
  </si>
  <si>
    <t>enum + status</t>
  </si>
  <si>
    <t>Business impact</t>
  </si>
  <si>
    <t>Use authoritative CMDB/business source.</t>
  </si>
  <si>
    <t>Never guess with AI.</t>
  </si>
  <si>
    <t>list</t>
  </si>
  <si>
    <t>WAF; egress restriction</t>
  </si>
  <si>
    <t>Mitigation context</t>
  </si>
  <si>
    <t>Record for review and potential policy adjustment.</t>
  </si>
  <si>
    <t>Does not erase mandatory remediation.</t>
  </si>
  <si>
    <t>Audit and replay</t>
  </si>
  <si>
    <t>Link decision to immutable evidence snapshot.</t>
  </si>
  <si>
    <t>Supports reproducibility.</t>
  </si>
  <si>
    <t>Rulebook selection</t>
  </si>
  <si>
    <t>Load immutable rules, weights, and thresholds.</t>
  </si>
  <si>
    <t>Required to reproduce decisions.</t>
  </si>
  <si>
    <t>formula</t>
  </si>
  <si>
    <t>OK</t>
  </si>
  <si>
    <t>Quality gate</t>
  </si>
  <si>
    <t>Critical UNKNOWN/STALE/ERROR returns NEEDS_REVIEW.</t>
  </si>
  <si>
    <t>No fabricated defaults.</t>
  </si>
  <si>
    <t>formula boolean</t>
  </si>
  <si>
    <t>Policy obligation</t>
  </si>
  <si>
    <t>KEV known true OR internal active exploitation.</t>
  </si>
  <si>
    <t>Independent from operational priority.</t>
  </si>
  <si>
    <t>formula number</t>
  </si>
  <si>
    <t>Composite score</t>
  </si>
  <si>
    <t>Sum calibrated policy components.</t>
  </si>
  <si>
    <t>Only calculated when evidence quality is sufficient.</t>
  </si>
  <si>
    <t>formula enum</t>
  </si>
  <si>
    <t>Decision output</t>
  </si>
  <si>
    <t>Map VPS through policy thresholds.</t>
  </si>
  <si>
    <t>P0-P3 or REVIEW.</t>
  </si>
  <si>
    <t>FINAL</t>
  </si>
  <si>
    <t>FINAL when quality passes; otherwise NEEDS_REVIEW.</t>
  </si>
  <si>
    <t>Ticket lifecycle may separately be PROVISIONAL.</t>
  </si>
  <si>
    <t>UPSERT_TICKET</t>
  </si>
  <si>
    <t>External workflow</t>
  </si>
  <si>
    <t>P0/P1/mandatory items are sent to ITSM.</t>
  </si>
  <si>
    <t>Transactional outbox prevents duplicates.</t>
  </si>
  <si>
    <t>VPAP 4.1 Synthetic Policy Engine Test Summary</t>
  </si>
  <si>
    <t>Formula-driven expected outcomes for the 20 synthetic test cases in Test_Cases.</t>
  </si>
  <si>
    <t>Metric</t>
  </si>
  <si>
    <t>Total test cases</t>
  </si>
  <si>
    <t>Expected FINAL</t>
  </si>
  <si>
    <t>Expected P0</t>
  </si>
  <si>
    <t>Expected NEEDS_REVIEW</t>
  </si>
  <si>
    <t>Expected P1</t>
  </si>
  <si>
    <t>Expected mandatory remediation</t>
  </si>
  <si>
    <t>Expected P2</t>
  </si>
  <si>
    <t>Expected ticket upserts</t>
  </si>
  <si>
    <t>Expected P3</t>
  </si>
  <si>
    <t>Expected review queue items</t>
  </si>
  <si>
    <t>Expected REVIEW</t>
  </si>
  <si>
    <t>Test coverage</t>
  </si>
  <si>
    <t>Included scenarios</t>
  </si>
  <si>
    <t>Evidence quality</t>
  </si>
  <si>
    <t>KNOWN, STALE, ERROR, UNKNOWN</t>
  </si>
  <si>
    <t>Priority bands</t>
  </si>
  <si>
    <t>P0, P1, P2, P3, REVIEW</t>
  </si>
  <si>
    <t>Governance</t>
  </si>
  <si>
    <t>Mandatory remediation, ITSM upsert, review routing</t>
  </si>
  <si>
    <t>Synthetic data note: These records are safe test fixtures and must not be interpreted as production findings or real organizational assets.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</si>
</sst>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0000"/>
    <numFmt numFmtId="166" formatCode="yyyy\-mm\-dd\ hh:mm:ss"/>
    <numFmt numFmtId="167" formatCode="yyyy\-mm\-dd"/>
  </numFmts>
  <fonts count="4">
    <font>
      <sz val="11"/>
      <name val="Carlito"/>
    </font>
    <font>
      <b/>
      <sz val="15"/>
      <color rgb="FFFFFFFF"/>
      <name val="Carlito"/>
    </font>
    <font>
      <i/>
      <sz val="11"/>
      <color rgb="FF244A63"/>
      <name val="Carlito"/>
    </font>
    <font>
      <b/>
      <sz val="11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23B5D"/>
      </patternFill>
    </fill>
    <fill>
      <patternFill patternType="solid">
        <fgColor rgb="FFE8F1F8"/>
      </patternFill>
    </fill>
    <fill>
      <patternFill patternType="solid">
        <fgColor rgb="FF0F766E"/>
      </patternFill>
    </fill>
    <fill>
      <patternFill patternType="solid">
        <fgColor rgb="FFF7FBFD"/>
      </patternFill>
    </fill>
    <fill>
      <patternFill patternType="solid">
        <fgColor rgb="FFFFF7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0" fillId="5" borderId="0" xfId="0" applyFill="1" applyAlignment="1">
      <alignment wrapText="1"/>
    </xf>
    <xf numFmtId="0" fontId="0" fillId="5" borderId="0" xfId="0" applyFill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5" borderId="0" xfId="0" applyNumberFormat="1" applyFill="1" applyAlignment="1">
      <alignment wrapText="1"/>
    </xf>
    <xf numFmtId="165" fontId="0" fillId="5" borderId="0" xfId="0" applyNumberFormat="1" applyFill="1" applyAlignment="1">
      <alignment wrapText="1"/>
    </xf>
    <xf numFmtId="166" fontId="0" fillId="5" borderId="0" xfId="0" applyNumberFormat="1" applyFill="1" applyAlignment="1">
      <alignment wrapText="1"/>
    </xf>
    <xf numFmtId="1" fontId="0" fillId="6" borderId="0" xfId="0" applyNumberFormat="1" applyFill="1" applyAlignment="1">
      <alignment wrapText="1"/>
    </xf>
    <xf numFmtId="166" fontId="0" fillId="0" borderId="0" xfId="0" applyNumberFormat="1" applyAlignment="1">
      <alignment wrapText="1"/>
    </xf>
    <xf numFmtId="167" fontId="0" fillId="0" borderId="0" xfId="0" applyNumberFormat="1"/>
    <xf numFmtId="2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0" fillId="0" borderId="0" xfId="0" applyAlignment="1"/>
  </cellXfs>
  <cellStyles count="1">
    <cellStyle name="Normal" xfId="0" builtinId="0"/>
  </cellStyles>
  <dxfs count="7"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3730A3"/>
      </font>
      <fill>
        <patternFill patternType="solid">
          <bgColor rgb="FFE0E7FF"/>
        </patternFill>
      </fill>
    </dxf>
    <dxf>
      <font>
        <b/>
        <color rgb="FF3730A3"/>
      </font>
      <fill>
        <patternFill patternType="solid">
          <bgColor rgb="FFE0E7FF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A3412"/>
      </font>
      <fill>
        <patternFill patternType="solid">
          <bgColor rgb="FFFED7AA"/>
        </patternFill>
      </fill>
    </dxf>
    <dxf>
      <font>
        <b/>
        <color rgb="FF991B1B"/>
      </font>
      <fill>
        <patternFill patternType="solid"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olicyEngineTestData" displayName="PolicyEngineTestData" ref="A4:AS24" totalsRowShown="0">
  <autoFilter ref="A4:AS24" xr:uid="{00000000-0009-0000-0100-000001000000}"/>
  <tableColumns count="45">
    <tableColumn id="1" xr3:uid="{00000000-0010-0000-0000-000001000000}" name="Test_Case_ID"/>
    <tableColumn id="2" xr3:uid="{00000000-0010-0000-0000-000002000000}" name="Record_Type"/>
    <tableColumn id="3" xr3:uid="{00000000-0010-0000-0000-000003000000}" name="Finding_Instance_ID"/>
    <tableColumn id="4" xr3:uid="{00000000-0010-0000-0000-000004000000}" name="Source_System"/>
    <tableColumn id="5" xr3:uid="{00000000-0010-0000-0000-000005000000}" name="Source_Finding_ID"/>
    <tableColumn id="6" xr3:uid="{00000000-0010-0000-0000-000006000000}" name="CVE_ID"/>
    <tableColumn id="7" xr3:uid="{00000000-0010-0000-0000-000007000000}" name="Asset_ID"/>
    <tableColumn id="8" xr3:uid="{00000000-0010-0000-0000-000008000000}" name="Asset_Name"/>
    <tableColumn id="9" xr3:uid="{00000000-0010-0000-0000-000009000000}" name="Package"/>
    <tableColumn id="10" xr3:uid="{00000000-0010-0000-0000-00000A000000}" name="Installed_Version"/>
    <tableColumn id="11" xr3:uid="{00000000-0010-0000-0000-00000B000000}" name="CVSS_Base_Score"/>
    <tableColumn id="12" xr3:uid="{00000000-0010-0000-0000-00000C000000}" name="Description"/>
    <tableColumn id="13" xr3:uid="{00000000-0010-0000-0000-00000D000000}" name="EPSS_Probability"/>
    <tableColumn id="14" xr3:uid="{00000000-0010-0000-0000-00000E000000}" name="EPSS_Status"/>
    <tableColumn id="15" xr3:uid="{00000000-0010-0000-0000-00000F000000}" name="EPSS_Percentile"/>
    <tableColumn id="16" xr3:uid="{00000000-0010-0000-0000-000010000000}" name="KEV_Value"/>
    <tableColumn id="17" xr3:uid="{00000000-0010-0000-0000-000011000000}" name="KEV_Status"/>
    <tableColumn id="18" xr3:uid="{00000000-0010-0000-0000-000012000000}" name="Internet_Exposure"/>
    <tableColumn id="19" xr3:uid="{00000000-0010-0000-0000-000013000000}" name="Internet_Status"/>
    <tableColumn id="20" xr3:uid="{00000000-0010-0000-0000-000014000000}" name="Runtime_Applicability"/>
    <tableColumn id="21" xr3:uid="{00000000-0010-0000-0000-000015000000}" name="Runtime_Status"/>
    <tableColumn id="22" xr3:uid="{00000000-0010-0000-0000-000016000000}" name="Attack_Path_Reachable"/>
    <tableColumn id="23" xr3:uid="{00000000-0010-0000-0000-000017000000}" name="Attack_Path_Status"/>
    <tableColumn id="24" xr3:uid="{00000000-0010-0000-0000-000018000000}" name="Business_Criticality"/>
    <tableColumn id="25" xr3:uid="{00000000-0010-0000-0000-000019000000}" name="Business_Status"/>
    <tableColumn id="26" xr3:uid="{00000000-0010-0000-0000-00001A000000}" name="Compensating_Controls"/>
    <tableColumn id="27" xr3:uid="{00000000-0010-0000-0000-00001B000000}" name="Internal_Active_Exploitation"/>
    <tableColumn id="28" xr3:uid="{00000000-0010-0000-0000-00001C000000}" name="Evidence_Sources"/>
    <tableColumn id="29" xr3:uid="{00000000-0010-0000-0000-00001D000000}" name="Retrieved_At"/>
    <tableColumn id="30" xr3:uid="{00000000-0010-0000-0000-00001E000000}" name="Evidence_Confidence"/>
    <tableColumn id="31" xr3:uid="{00000000-0010-0000-0000-00001F000000}" name="Evidence_Snapshot_ID"/>
    <tableColumn id="32" xr3:uid="{00000000-0010-0000-0000-000020000000}" name="Policy_Version"/>
    <tableColumn id="33" xr3:uid="{00000000-0010-0000-0000-000021000000}" name="Quality_Check"/>
    <tableColumn id="34" xr3:uid="{00000000-0010-0000-0000-000022000000}" name="Mandatory_Remediation"/>
    <tableColumn id="35" xr3:uid="{00000000-0010-0000-0000-000023000000}" name="Exploitation_Points"/>
    <tableColumn id="36" xr3:uid="{00000000-0010-0000-0000-000024000000}" name="Exposure_Points"/>
    <tableColumn id="37" xr3:uid="{00000000-0010-0000-0000-000025000000}" name="Technical_Impact_Points"/>
    <tableColumn id="38" xr3:uid="{00000000-0010-0000-0000-000026000000}" name="Business_Impact_Points"/>
    <tableColumn id="39" xr3:uid="{00000000-0010-0000-0000-000027000000}" name="VPS"/>
    <tableColumn id="40" xr3:uid="{00000000-0010-0000-0000-000028000000}" name="Expected_Priority"/>
    <tableColumn id="41" xr3:uid="{00000000-0010-0000-0000-000029000000}" name="Expected_Decision_Status"/>
    <tableColumn id="42" xr3:uid="{00000000-0010-0000-0000-00002A000000}" name="Expected_Confidence"/>
    <tableColumn id="43" xr3:uid="{00000000-0010-0000-0000-00002B000000}" name="Expected_Ticket_Action"/>
    <tableColumn id="44" xr3:uid="{00000000-0010-0000-0000-00002C000000}" name="Expected_Rules_Applied"/>
    <tableColumn id="45" xr3:uid="{00000000-0010-0000-0000-00002D000000}" name="Scenario_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videnceMetadata" displayName="EvidenceMetadata" ref="A4:L164" totalsRowShown="0">
  <autoFilter ref="A4:L164" xr:uid="{00000000-0009-0000-0100-000002000000}"/>
  <tableColumns count="12">
    <tableColumn id="1" xr3:uid="{00000000-0010-0000-0100-000001000000}" name="Test_Case_ID"/>
    <tableColumn id="2" xr3:uid="{00000000-0010-0000-0100-000002000000}" name="Evidence_Snapshot_ID"/>
    <tableColumn id="3" xr3:uid="{00000000-0010-0000-0100-000003000000}" name="Finding_Instance_ID"/>
    <tableColumn id="4" xr3:uid="{00000000-0010-0000-0100-000004000000}" name="Field_Name"/>
    <tableColumn id="5" xr3:uid="{00000000-0010-0000-0100-000005000000}" name="Value"/>
    <tableColumn id="6" xr3:uid="{00000000-0010-0000-0100-000006000000}" name="Value_Type"/>
    <tableColumn id="7" xr3:uid="{00000000-0010-0000-0100-000007000000}" name="Status"/>
    <tableColumn id="8" xr3:uid="{00000000-0010-0000-0100-000008000000}" name="Source"/>
    <tableColumn id="9" xr3:uid="{00000000-0010-0000-0100-000009000000}" name="Source_Timestamp"/>
    <tableColumn id="10" xr3:uid="{00000000-0010-0000-0100-00000A000000}" name="Retrieved_At"/>
    <tableColumn id="11" xr3:uid="{00000000-0010-0000-0100-00000B000000}" name="Confidence"/>
    <tableColumn id="12" xr3:uid="{00000000-0010-0000-0100-00000C000000}" name="Processing_Note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ieldGuide" displayName="FieldGuide" ref="A4:F24" totalsRowShown="0">
  <tableColumns count="6">
    <tableColumn id="1" xr3:uid="{00000000-0010-0000-0200-000001000000}" name="Field"/>
    <tableColumn id="2" xr3:uid="{00000000-0010-0000-0200-000002000000}" name="Type"/>
    <tableColumn id="3" xr3:uid="{00000000-0010-0000-0200-000003000000}" name="Example"/>
    <tableColumn id="4" xr3:uid="{00000000-0010-0000-0200-000004000000}" name="Where Used"/>
    <tableColumn id="5" xr3:uid="{00000000-0010-0000-0200-000005000000}" name="Processing Rule"/>
    <tableColumn id="6" xr3:uid="{00000000-0010-0000-0200-000006000000}" name="Output / Safety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4"/>
  <sheetViews>
    <sheetView showGridLines="0" tabSelected="1" workbookViewId="0"/>
  </sheetViews>
  <sheetFormatPr defaultRowHeight="15"/>
  <cols>
    <col min="1" max="1" width="12" customWidth="1"/>
    <col min="2" max="3" width="18" customWidth="1"/>
    <col min="4" max="4" width="12" customWidth="1"/>
    <col min="5" max="5" width="18" customWidth="1"/>
    <col min="6" max="6" width="17" customWidth="1"/>
    <col min="7" max="7" width="25" customWidth="1"/>
    <col min="8" max="8" width="28" customWidth="1"/>
    <col min="9" max="9" width="20" customWidth="1"/>
    <col min="10" max="10" width="15" customWidth="1"/>
    <col min="11" max="11" width="12" customWidth="1"/>
    <col min="12" max="12" width="34" customWidth="1"/>
    <col min="13" max="13" width="16" customWidth="1"/>
    <col min="14" max="14" width="13" customWidth="1"/>
    <col min="15" max="15" width="16" customWidth="1"/>
    <col min="16" max="16" width="11" customWidth="1"/>
    <col min="17" max="17" width="12" customWidth="1"/>
    <col min="18" max="18" width="15" customWidth="1"/>
    <col min="19" max="19" width="14" customWidth="1"/>
    <col min="20" max="20" width="18" customWidth="1"/>
    <col min="21" max="21" width="14" customWidth="1"/>
    <col min="22" max="22" width="18" customWidth="1"/>
    <col min="23" max="23" width="15" customWidth="1"/>
    <col min="24" max="24" width="18" customWidth="1"/>
    <col min="25" max="25" width="14" customWidth="1"/>
    <col min="26" max="26" width="34" customWidth="1"/>
    <col min="27" max="27" width="20" customWidth="1"/>
    <col min="28" max="28" width="34" customWidth="1"/>
    <col min="29" max="29" width="23" customWidth="1"/>
    <col min="30" max="30" width="16" customWidth="1"/>
    <col min="31" max="31" width="25" customWidth="1"/>
    <col min="32" max="32" width="18" customWidth="1"/>
    <col min="33" max="33" width="15" customWidth="1"/>
    <col min="34" max="34" width="20" customWidth="1"/>
    <col min="35" max="35" width="17" customWidth="1"/>
    <col min="36" max="36" width="14" customWidth="1"/>
    <col min="37" max="37" width="19" customWidth="1"/>
    <col min="38" max="38" width="18" customWidth="1"/>
    <col min="39" max="39" width="10" customWidth="1"/>
    <col min="40" max="40" width="17" customWidth="1"/>
    <col min="41" max="41" width="22" customWidth="1"/>
    <col min="42" max="42" width="18" customWidth="1"/>
    <col min="43" max="43" width="22" customWidth="1"/>
    <col min="44" max="44" width="56" customWidth="1"/>
    <col min="45" max="45" width="38" customWidth="1"/>
  </cols>
  <sheetData>
    <row r="1" spans="1:45" ht="27.95" customHeight="1">
      <c r="A1" s="15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</row>
    <row r="2" spans="1:45" ht="33.950000000000003" customHeight="1">
      <c r="A2" s="16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</row>
    <row r="4" spans="1:4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</row>
    <row r="5" spans="1:45">
      <c r="A5" s="2" t="s">
        <v>47</v>
      </c>
      <c r="B5" s="2" t="s">
        <v>48</v>
      </c>
      <c r="C5" s="2" t="s">
        <v>49</v>
      </c>
      <c r="D5" s="2" t="s">
        <v>50</v>
      </c>
      <c r="E5" s="2" t="s">
        <v>51</v>
      </c>
      <c r="F5" s="2" t="s">
        <v>52</v>
      </c>
      <c r="G5" s="2" t="s">
        <v>53</v>
      </c>
      <c r="H5" s="2" t="s">
        <v>54</v>
      </c>
      <c r="I5" s="2" t="s">
        <v>55</v>
      </c>
      <c r="J5" s="2" t="s">
        <v>56</v>
      </c>
      <c r="K5" s="7">
        <v>10</v>
      </c>
      <c r="L5" s="2" t="s">
        <v>57</v>
      </c>
      <c r="M5" s="8">
        <v>0.99999000000000005</v>
      </c>
      <c r="N5" s="2" t="s">
        <v>58</v>
      </c>
      <c r="O5" s="8">
        <v>1</v>
      </c>
      <c r="P5" s="3" t="b">
        <v>1</v>
      </c>
      <c r="Q5" s="2" t="s">
        <v>58</v>
      </c>
      <c r="R5" s="3" t="b">
        <v>1</v>
      </c>
      <c r="S5" s="2" t="s">
        <v>58</v>
      </c>
      <c r="T5" s="3" t="b">
        <v>1</v>
      </c>
      <c r="U5" s="2" t="s">
        <v>58</v>
      </c>
      <c r="V5" s="3" t="b">
        <v>1</v>
      </c>
      <c r="W5" s="2" t="s">
        <v>58</v>
      </c>
      <c r="X5" s="2" t="s">
        <v>59</v>
      </c>
      <c r="Y5" s="2" t="s">
        <v>58</v>
      </c>
      <c r="Z5" s="2" t="s">
        <v>60</v>
      </c>
      <c r="AA5" s="3" t="b">
        <v>0</v>
      </c>
      <c r="AB5" s="2" t="s">
        <v>61</v>
      </c>
      <c r="AC5" s="9">
        <v>46243.427083333336</v>
      </c>
      <c r="AD5" s="2" t="s">
        <v>62</v>
      </c>
      <c r="AE5" s="2" t="s">
        <v>63</v>
      </c>
      <c r="AF5" s="2" t="s">
        <v>64</v>
      </c>
      <c r="AG5" s="4" t="str">
        <f>IF(OR(N5&lt;&gt;"KNOWN",Q5&lt;&gt;"KNOWN",S5&lt;&gt;"KNOWN",U5&lt;&gt;"KNOWN",W5&lt;&gt;"KNOWN",Y5&lt;&gt;"KNOWN"),"NEEDS_REVIEW","OK")</f>
        <v>OK</v>
      </c>
      <c r="AH5" s="4" t="b">
        <f>IF(OR(AND(Q5="KNOWN",P5=TRUE),AA5=TRUE),TRUE,FALSE)</f>
        <v>1</v>
      </c>
      <c r="AI5" s="10">
        <f>IF(AG5&lt;&gt;"OK",0,IF(AH5=TRUE,Policy_Config!$B$11,IF(M5&gt;=Policy_Config!$C$12,Policy_Config!$B$12,IF(M5&gt;=Policy_Config!$C$13,Policy_Config!$B$13,IF(M5&gt;=Policy_Config!$C$14,Policy_Config!$B$14,Policy_Config!$B$15)))))</f>
        <v>30</v>
      </c>
      <c r="AJ5" s="10">
        <f>IF(AG5&lt;&gt;"OK",0,IF(AND(R5=TRUE,V5=TRUE),Policy_Config!$B$17,IF(OR(R5=TRUE,V5=TRUE),Policy_Config!$B$18,Policy_Config!$B$19)))</f>
        <v>20</v>
      </c>
      <c r="AK5" s="10">
        <f>IF(AG5&lt;&gt;"OK",0,IF(T5=FALSE,Policy_Config!$B$21,IF(K5&gt;=Policy_Config!$C$22,Policy_Config!$B$22,IF(K5&gt;=Policy_Config!$C$23,Policy_Config!$B$23,Policy_Config!$B$24))))</f>
        <v>20</v>
      </c>
      <c r="AL5" s="10">
        <f>IF(AG5&lt;&gt;"OK",0,IF(X5="CRITICAL",Policy_Config!$B$26,IF(X5="HIGH",Policy_Config!$B$27,IF(X5="MEDIUM",Policy_Config!$B$28,Policy_Config!$B$29))))</f>
        <v>15</v>
      </c>
      <c r="AM5" s="10">
        <f>IF(AG5&lt;&gt;"OK","",SUM(AI5:AL5))</f>
        <v>85</v>
      </c>
      <c r="AN5" s="4" t="str">
        <f>IF(AG5&lt;&gt;"OK","REVIEW",IF(AM5&gt;=Policy_Config!$B$5,"P0",IF(AM5&gt;=Policy_Config!$B$6,"P1",IF(AM5&gt;=Policy_Config!$B$7,"P2","P3"))))</f>
        <v>P0</v>
      </c>
      <c r="AO5" s="4" t="str">
        <f>IF(AG5&lt;&gt;"OK","NEEDS_REVIEW","FINAL")</f>
        <v>FINAL</v>
      </c>
      <c r="AP5" s="4" t="str">
        <f>IF(AG5&lt;&gt;"OK","LOW","HIGH")</f>
        <v>HIGH</v>
      </c>
      <c r="AQ5" s="4" t="str">
        <f>IF(OR(AN5="P0",AN5="P1",AH5=TRUE),"UPSERT_TICKET",IF(AO5="NEEDS_REVIEW","REVIEW_QUEUE","NO_IMMEDIATE_TICKET"))</f>
        <v>UPSERT_TICKET</v>
      </c>
      <c r="AR5" s="5" t="s">
        <v>65</v>
      </c>
      <c r="AS5" s="5" t="s">
        <v>66</v>
      </c>
    </row>
    <row r="6" spans="1:45">
      <c r="A6" s="2" t="s">
        <v>67</v>
      </c>
      <c r="B6" s="2" t="s">
        <v>48</v>
      </c>
      <c r="C6" s="2" t="s">
        <v>68</v>
      </c>
      <c r="D6" s="2" t="s">
        <v>50</v>
      </c>
      <c r="E6" s="2" t="s">
        <v>69</v>
      </c>
      <c r="F6" s="2" t="s">
        <v>70</v>
      </c>
      <c r="G6" s="2" t="s">
        <v>71</v>
      </c>
      <c r="H6" s="2" t="s">
        <v>72</v>
      </c>
      <c r="I6" s="2" t="s">
        <v>73</v>
      </c>
      <c r="J6" s="2" t="s">
        <v>74</v>
      </c>
      <c r="K6" s="7">
        <v>9.1</v>
      </c>
      <c r="L6" s="2" t="s">
        <v>75</v>
      </c>
      <c r="M6" s="8">
        <v>0.91</v>
      </c>
      <c r="N6" s="2" t="s">
        <v>58</v>
      </c>
      <c r="O6" s="8">
        <v>0.995</v>
      </c>
      <c r="P6" s="3" t="b">
        <v>1</v>
      </c>
      <c r="Q6" s="2" t="s">
        <v>58</v>
      </c>
      <c r="R6" s="3" t="b">
        <v>1</v>
      </c>
      <c r="S6" s="2" t="s">
        <v>58</v>
      </c>
      <c r="T6" s="3" t="b">
        <v>1</v>
      </c>
      <c r="U6" s="2" t="s">
        <v>58</v>
      </c>
      <c r="V6" s="3" t="b">
        <v>1</v>
      </c>
      <c r="W6" s="2" t="s">
        <v>58</v>
      </c>
      <c r="X6" s="2" t="s">
        <v>62</v>
      </c>
      <c r="Y6" s="2" t="s">
        <v>58</v>
      </c>
      <c r="Z6" s="2" t="s">
        <v>76</v>
      </c>
      <c r="AA6" s="3" t="b">
        <v>0</v>
      </c>
      <c r="AB6" s="2" t="s">
        <v>61</v>
      </c>
      <c r="AC6" s="9">
        <v>46243.428472222222</v>
      </c>
      <c r="AD6" s="2" t="s">
        <v>62</v>
      </c>
      <c r="AE6" s="2" t="s">
        <v>77</v>
      </c>
      <c r="AF6" s="2" t="s">
        <v>64</v>
      </c>
      <c r="AG6" s="4" t="str">
        <f>IF(OR(N6&lt;&gt;"KNOWN",Q6&lt;&gt;"KNOWN",S6&lt;&gt;"KNOWN",U6&lt;&gt;"KNOWN",W6&lt;&gt;"KNOWN",Y6&lt;&gt;"KNOWN"),"NEEDS_REVIEW","OK")</f>
        <v>OK</v>
      </c>
      <c r="AH6" s="4" t="b">
        <f>IF(OR(AND(Q6="KNOWN",P6=TRUE),AA6=TRUE),TRUE,FALSE)</f>
        <v>1</v>
      </c>
      <c r="AI6" s="10">
        <f>IF(AG6&lt;&gt;"OK",0,IF(AH6=TRUE,Policy_Config!$B$11,IF(M6&gt;=Policy_Config!$C$12,Policy_Config!$B$12,IF(M6&gt;=Policy_Config!$C$13,Policy_Config!$B$13,IF(M6&gt;=Policy_Config!$C$14,Policy_Config!$B$14,Policy_Config!$B$15)))))</f>
        <v>30</v>
      </c>
      <c r="AJ6" s="10">
        <f>IF(AG6&lt;&gt;"OK",0,IF(AND(R6=TRUE,V6=TRUE),Policy_Config!$B$17,IF(OR(R6=TRUE,V6=TRUE),Policy_Config!$B$18,Policy_Config!$B$19)))</f>
        <v>20</v>
      </c>
      <c r="AK6" s="10">
        <f>IF(AG6&lt;&gt;"OK",0,IF(T6=FALSE,Policy_Config!$B$21,IF(K6&gt;=Policy_Config!$C$22,Policy_Config!$B$22,IF(K6&gt;=Policy_Config!$C$23,Policy_Config!$B$23,Policy_Config!$B$24))))</f>
        <v>20</v>
      </c>
      <c r="AL6" s="10">
        <f>IF(AG6&lt;&gt;"OK",0,IF(X6="CRITICAL",Policy_Config!$B$26,IF(X6="HIGH",Policy_Config!$B$27,IF(X6="MEDIUM",Policy_Config!$B$28,Policy_Config!$B$29))))</f>
        <v>10</v>
      </c>
      <c r="AM6" s="10">
        <f>IF(AG6&lt;&gt;"OK","",SUM(AI6:AL6))</f>
        <v>80</v>
      </c>
      <c r="AN6" s="4" t="str">
        <f>IF(AG6&lt;&gt;"OK","REVIEW",IF(AM6&gt;=Policy_Config!$B$5,"P0",IF(AM6&gt;=Policy_Config!$B$6,"P1",IF(AM6&gt;=Policy_Config!$B$7,"P2","P3"))))</f>
        <v>P0</v>
      </c>
      <c r="AO6" s="4" t="str">
        <f>IF(AG6&lt;&gt;"OK","NEEDS_REVIEW","FINAL")</f>
        <v>FINAL</v>
      </c>
      <c r="AP6" s="4" t="str">
        <f>IF(AG6&lt;&gt;"OK","LOW","HIGH")</f>
        <v>HIGH</v>
      </c>
      <c r="AQ6" s="4" t="str">
        <f>IF(OR(AN6="P0",AN6="P1",AH6=TRUE),"UPSERT_TICKET",IF(AO6="NEEDS_REVIEW","REVIEW_QUEUE","NO_IMMEDIATE_TICKET"))</f>
        <v>UPSERT_TICKET</v>
      </c>
      <c r="AR6" s="5" t="s">
        <v>78</v>
      </c>
      <c r="AS6" s="5" t="s">
        <v>79</v>
      </c>
    </row>
    <row r="7" spans="1:45">
      <c r="A7" s="2" t="s">
        <v>80</v>
      </c>
      <c r="B7" s="2" t="s">
        <v>48</v>
      </c>
      <c r="C7" s="2" t="s">
        <v>81</v>
      </c>
      <c r="D7" s="2" t="s">
        <v>50</v>
      </c>
      <c r="E7" s="2" t="s">
        <v>82</v>
      </c>
      <c r="F7" s="2" t="s">
        <v>83</v>
      </c>
      <c r="G7" s="2" t="s">
        <v>84</v>
      </c>
      <c r="H7" s="2" t="s">
        <v>85</v>
      </c>
      <c r="I7" s="2" t="s">
        <v>86</v>
      </c>
      <c r="J7" s="2" t="s">
        <v>87</v>
      </c>
      <c r="K7" s="7">
        <v>9.8000000000000007</v>
      </c>
      <c r="L7" s="2" t="s">
        <v>88</v>
      </c>
      <c r="M7" s="8">
        <v>0.87</v>
      </c>
      <c r="N7" s="2" t="s">
        <v>58</v>
      </c>
      <c r="O7" s="8">
        <v>0.98499999999999999</v>
      </c>
      <c r="P7" s="3" t="b">
        <v>0</v>
      </c>
      <c r="Q7" s="2" t="s">
        <v>58</v>
      </c>
      <c r="R7" s="3" t="b">
        <v>0</v>
      </c>
      <c r="S7" s="2" t="s">
        <v>58</v>
      </c>
      <c r="T7" s="3" t="b">
        <v>1</v>
      </c>
      <c r="U7" s="2" t="s">
        <v>58</v>
      </c>
      <c r="V7" s="3" t="b">
        <v>1</v>
      </c>
      <c r="W7" s="2" t="s">
        <v>58</v>
      </c>
      <c r="X7" s="2" t="s">
        <v>59</v>
      </c>
      <c r="Y7" s="2" t="s">
        <v>58</v>
      </c>
      <c r="Z7" s="2" t="s">
        <v>89</v>
      </c>
      <c r="AA7" s="3" t="b">
        <v>0</v>
      </c>
      <c r="AB7" s="2" t="s">
        <v>61</v>
      </c>
      <c r="AC7" s="9">
        <v>46243.429861111108</v>
      </c>
      <c r="AD7" s="2" t="s">
        <v>62</v>
      </c>
      <c r="AE7" s="2" t="s">
        <v>90</v>
      </c>
      <c r="AF7" s="2" t="s">
        <v>64</v>
      </c>
      <c r="AG7" s="4" t="str">
        <f>IF(OR(N7&lt;&gt;"KNOWN",Q7&lt;&gt;"KNOWN",S7&lt;&gt;"KNOWN",U7&lt;&gt;"KNOWN",W7&lt;&gt;"KNOWN",Y7&lt;&gt;"KNOWN"),"NEEDS_REVIEW","OK")</f>
        <v>OK</v>
      </c>
      <c r="AH7" s="4" t="b">
        <f>IF(OR(AND(Q7="KNOWN",P7=TRUE),AA7=TRUE),TRUE,FALSE)</f>
        <v>0</v>
      </c>
      <c r="AI7" s="10">
        <f>IF(AG7&lt;&gt;"OK",0,IF(AH7=TRUE,Policy_Config!$B$11,IF(M7&gt;=Policy_Config!$C$12,Policy_Config!$B$12,IF(M7&gt;=Policy_Config!$C$13,Policy_Config!$B$13,IF(M7&gt;=Policy_Config!$C$14,Policy_Config!$B$14,Policy_Config!$B$15)))))</f>
        <v>20</v>
      </c>
      <c r="AJ7" s="10">
        <f>IF(AG7&lt;&gt;"OK",0,IF(AND(R7=TRUE,V7=TRUE),Policy_Config!$B$17,IF(OR(R7=TRUE,V7=TRUE),Policy_Config!$B$18,Policy_Config!$B$19)))</f>
        <v>10</v>
      </c>
      <c r="AK7" s="10">
        <f>IF(AG7&lt;&gt;"OK",0,IF(T7=FALSE,Policy_Config!$B$21,IF(K7&gt;=Policy_Config!$C$22,Policy_Config!$B$22,IF(K7&gt;=Policy_Config!$C$23,Policy_Config!$B$23,Policy_Config!$B$24))))</f>
        <v>20</v>
      </c>
      <c r="AL7" s="10">
        <f>IF(AG7&lt;&gt;"OK",0,IF(X7="CRITICAL",Policy_Config!$B$26,IF(X7="HIGH",Policy_Config!$B$27,IF(X7="MEDIUM",Policy_Config!$B$28,Policy_Config!$B$29))))</f>
        <v>15</v>
      </c>
      <c r="AM7" s="10">
        <f>IF(AG7&lt;&gt;"OK","",SUM(AI7:AL7))</f>
        <v>65</v>
      </c>
      <c r="AN7" s="4" t="str">
        <f>IF(AG7&lt;&gt;"OK","REVIEW",IF(AM7&gt;=Policy_Config!$B$5,"P0",IF(AM7&gt;=Policy_Config!$B$6,"P1",IF(AM7&gt;=Policy_Config!$B$7,"P2","P3"))))</f>
        <v>P1</v>
      </c>
      <c r="AO7" s="4" t="str">
        <f>IF(AG7&lt;&gt;"OK","NEEDS_REVIEW","FINAL")</f>
        <v>FINAL</v>
      </c>
      <c r="AP7" s="4" t="str">
        <f>IF(AG7&lt;&gt;"OK","LOW","HIGH")</f>
        <v>HIGH</v>
      </c>
      <c r="AQ7" s="4" t="str">
        <f>IF(OR(AN7="P0",AN7="P1",AH7=TRUE),"UPSERT_TICKET",IF(AO7="NEEDS_REVIEW","REVIEW_QUEUE","NO_IMMEDIATE_TICKET"))</f>
        <v>UPSERT_TICKET</v>
      </c>
      <c r="AR7" s="5" t="s">
        <v>91</v>
      </c>
      <c r="AS7" s="5" t="s">
        <v>92</v>
      </c>
    </row>
    <row r="8" spans="1:45">
      <c r="A8" s="2" t="s">
        <v>93</v>
      </c>
      <c r="B8" s="2" t="s">
        <v>48</v>
      </c>
      <c r="C8" s="2" t="s">
        <v>94</v>
      </c>
      <c r="D8" s="2" t="s">
        <v>50</v>
      </c>
      <c r="E8" s="2" t="s">
        <v>95</v>
      </c>
      <c r="F8" s="2" t="s">
        <v>96</v>
      </c>
      <c r="G8" s="2" t="s">
        <v>97</v>
      </c>
      <c r="H8" s="2" t="s">
        <v>98</v>
      </c>
      <c r="I8" s="2" t="s">
        <v>99</v>
      </c>
      <c r="J8" s="2" t="s">
        <v>100</v>
      </c>
      <c r="K8" s="7">
        <v>8.8000000000000007</v>
      </c>
      <c r="L8" s="2" t="s">
        <v>101</v>
      </c>
      <c r="M8" s="8">
        <v>0.65</v>
      </c>
      <c r="N8" s="2" t="s">
        <v>58</v>
      </c>
      <c r="O8" s="8">
        <v>0.96499999999999997</v>
      </c>
      <c r="P8" s="3" t="b">
        <v>0</v>
      </c>
      <c r="Q8" s="2" t="s">
        <v>58</v>
      </c>
      <c r="R8" s="3" t="b">
        <v>1</v>
      </c>
      <c r="S8" s="2" t="s">
        <v>58</v>
      </c>
      <c r="T8" s="3" t="b">
        <v>1</v>
      </c>
      <c r="U8" s="2" t="s">
        <v>58</v>
      </c>
      <c r="V8" s="3" t="b">
        <v>1</v>
      </c>
      <c r="W8" s="2" t="s">
        <v>58</v>
      </c>
      <c r="X8" s="2" t="s">
        <v>62</v>
      </c>
      <c r="Y8" s="2" t="s">
        <v>58</v>
      </c>
      <c r="Z8" s="2" t="s">
        <v>102</v>
      </c>
      <c r="AA8" s="3" t="b">
        <v>0</v>
      </c>
      <c r="AB8" s="2" t="s">
        <v>61</v>
      </c>
      <c r="AC8" s="9">
        <v>46243.431250000001</v>
      </c>
      <c r="AD8" s="2" t="s">
        <v>62</v>
      </c>
      <c r="AE8" s="2" t="s">
        <v>103</v>
      </c>
      <c r="AF8" s="2" t="s">
        <v>64</v>
      </c>
      <c r="AG8" s="4" t="str">
        <f>IF(OR(N8&lt;&gt;"KNOWN",Q8&lt;&gt;"KNOWN",S8&lt;&gt;"KNOWN",U8&lt;&gt;"KNOWN",W8&lt;&gt;"KNOWN",Y8&lt;&gt;"KNOWN"),"NEEDS_REVIEW","OK")</f>
        <v>OK</v>
      </c>
      <c r="AH8" s="4" t="b">
        <f>IF(OR(AND(Q8="KNOWN",P8=TRUE),AA8=TRUE),TRUE,FALSE)</f>
        <v>0</v>
      </c>
      <c r="AI8" s="10">
        <f>IF(AG8&lt;&gt;"OK",0,IF(AH8=TRUE,Policy_Config!$B$11,IF(M8&gt;=Policy_Config!$C$12,Policy_Config!$B$12,IF(M8&gt;=Policy_Config!$C$13,Policy_Config!$B$13,IF(M8&gt;=Policy_Config!$C$14,Policy_Config!$B$14,Policy_Config!$B$15)))))</f>
        <v>15</v>
      </c>
      <c r="AJ8" s="10">
        <f>IF(AG8&lt;&gt;"OK",0,IF(AND(R8=TRUE,V8=TRUE),Policy_Config!$B$17,IF(OR(R8=TRUE,V8=TRUE),Policy_Config!$B$18,Policy_Config!$B$19)))</f>
        <v>20</v>
      </c>
      <c r="AK8" s="10">
        <f>IF(AG8&lt;&gt;"OK",0,IF(T8=FALSE,Policy_Config!$B$21,IF(K8&gt;=Policy_Config!$C$22,Policy_Config!$B$22,IF(K8&gt;=Policy_Config!$C$23,Policy_Config!$B$23,Policy_Config!$B$24))))</f>
        <v>15</v>
      </c>
      <c r="AL8" s="10">
        <f>IF(AG8&lt;&gt;"OK",0,IF(X8="CRITICAL",Policy_Config!$B$26,IF(X8="HIGH",Policy_Config!$B$27,IF(X8="MEDIUM",Policy_Config!$B$28,Policy_Config!$B$29))))</f>
        <v>10</v>
      </c>
      <c r="AM8" s="10">
        <f>IF(AG8&lt;&gt;"OK","",SUM(AI8:AL8))</f>
        <v>60</v>
      </c>
      <c r="AN8" s="4" t="str">
        <f>IF(AG8&lt;&gt;"OK","REVIEW",IF(AM8&gt;=Policy_Config!$B$5,"P0",IF(AM8&gt;=Policy_Config!$B$6,"P1",IF(AM8&gt;=Policy_Config!$B$7,"P2","P3"))))</f>
        <v>P1</v>
      </c>
      <c r="AO8" s="4" t="str">
        <f>IF(AG8&lt;&gt;"OK","NEEDS_REVIEW","FINAL")</f>
        <v>FINAL</v>
      </c>
      <c r="AP8" s="4" t="str">
        <f>IF(AG8&lt;&gt;"OK","LOW","HIGH")</f>
        <v>HIGH</v>
      </c>
      <c r="AQ8" s="4" t="str">
        <f>IF(OR(AN8="P0",AN8="P1",AH8=TRUE),"UPSERT_TICKET",IF(AO8="NEEDS_REVIEW","REVIEW_QUEUE","NO_IMMEDIATE_TICKET"))</f>
        <v>UPSERT_TICKET</v>
      </c>
      <c r="AR8" s="5" t="s">
        <v>104</v>
      </c>
      <c r="AS8" s="5" t="s">
        <v>105</v>
      </c>
    </row>
    <row r="9" spans="1:45">
      <c r="A9" s="2" t="s">
        <v>106</v>
      </c>
      <c r="B9" s="2" t="s">
        <v>48</v>
      </c>
      <c r="C9" s="2" t="s">
        <v>107</v>
      </c>
      <c r="D9" s="2" t="s">
        <v>50</v>
      </c>
      <c r="E9" s="2" t="s">
        <v>108</v>
      </c>
      <c r="F9" s="2" t="s">
        <v>109</v>
      </c>
      <c r="G9" s="2" t="s">
        <v>110</v>
      </c>
      <c r="H9" s="2" t="s">
        <v>111</v>
      </c>
      <c r="I9" s="2" t="s">
        <v>112</v>
      </c>
      <c r="J9" s="2" t="s">
        <v>113</v>
      </c>
      <c r="K9" s="7">
        <v>9.8000000000000007</v>
      </c>
      <c r="L9" s="2" t="s">
        <v>114</v>
      </c>
      <c r="M9" s="8">
        <v>0.76</v>
      </c>
      <c r="N9" s="2" t="s">
        <v>58</v>
      </c>
      <c r="O9" s="8">
        <v>0.97799999999999998</v>
      </c>
      <c r="P9" s="3" t="b">
        <v>1</v>
      </c>
      <c r="Q9" s="2" t="s">
        <v>58</v>
      </c>
      <c r="R9" s="3" t="b">
        <v>1</v>
      </c>
      <c r="S9" s="2" t="s">
        <v>58</v>
      </c>
      <c r="T9" s="3" t="b">
        <v>1</v>
      </c>
      <c r="U9" s="2" t="s">
        <v>58</v>
      </c>
      <c r="V9" s="3" t="b">
        <v>1</v>
      </c>
      <c r="W9" s="2" t="s">
        <v>58</v>
      </c>
      <c r="X9" s="2" t="s">
        <v>59</v>
      </c>
      <c r="Y9" s="2" t="s">
        <v>58</v>
      </c>
      <c r="Z9" s="2" t="s">
        <v>115</v>
      </c>
      <c r="AA9" s="3" t="b">
        <v>0</v>
      </c>
      <c r="AB9" s="2" t="s">
        <v>61</v>
      </c>
      <c r="AC9" s="9">
        <v>46243.432638888888</v>
      </c>
      <c r="AD9" s="2" t="s">
        <v>62</v>
      </c>
      <c r="AE9" s="2" t="s">
        <v>116</v>
      </c>
      <c r="AF9" s="2" t="s">
        <v>64</v>
      </c>
      <c r="AG9" s="4" t="str">
        <f>IF(OR(N9&lt;&gt;"KNOWN",Q9&lt;&gt;"KNOWN",S9&lt;&gt;"KNOWN",U9&lt;&gt;"KNOWN",W9&lt;&gt;"KNOWN",Y9&lt;&gt;"KNOWN"),"NEEDS_REVIEW","OK")</f>
        <v>OK</v>
      </c>
      <c r="AH9" s="4" t="b">
        <f>IF(OR(AND(Q9="KNOWN",P9=TRUE),AA9=TRUE),TRUE,FALSE)</f>
        <v>1</v>
      </c>
      <c r="AI9" s="10">
        <f>IF(AG9&lt;&gt;"OK",0,IF(AH9=TRUE,Policy_Config!$B$11,IF(M9&gt;=Policy_Config!$C$12,Policy_Config!$B$12,IF(M9&gt;=Policy_Config!$C$13,Policy_Config!$B$13,IF(M9&gt;=Policy_Config!$C$14,Policy_Config!$B$14,Policy_Config!$B$15)))))</f>
        <v>30</v>
      </c>
      <c r="AJ9" s="10">
        <f>IF(AG9&lt;&gt;"OK",0,IF(AND(R9=TRUE,V9=TRUE),Policy_Config!$B$17,IF(OR(R9=TRUE,V9=TRUE),Policy_Config!$B$18,Policy_Config!$B$19)))</f>
        <v>20</v>
      </c>
      <c r="AK9" s="10">
        <f>IF(AG9&lt;&gt;"OK",0,IF(T9=FALSE,Policy_Config!$B$21,IF(K9&gt;=Policy_Config!$C$22,Policy_Config!$B$22,IF(K9&gt;=Policy_Config!$C$23,Policy_Config!$B$23,Policy_Config!$B$24))))</f>
        <v>20</v>
      </c>
      <c r="AL9" s="10">
        <f>IF(AG9&lt;&gt;"OK",0,IF(X9="CRITICAL",Policy_Config!$B$26,IF(X9="HIGH",Policy_Config!$B$27,IF(X9="MEDIUM",Policy_Config!$B$28,Policy_Config!$B$29))))</f>
        <v>15</v>
      </c>
      <c r="AM9" s="10">
        <f>IF(AG9&lt;&gt;"OK","",SUM(AI9:AL9))</f>
        <v>85</v>
      </c>
      <c r="AN9" s="4" t="str">
        <f>IF(AG9&lt;&gt;"OK","REVIEW",IF(AM9&gt;=Policy_Config!$B$5,"P0",IF(AM9&gt;=Policy_Config!$B$6,"P1",IF(AM9&gt;=Policy_Config!$B$7,"P2","P3"))))</f>
        <v>P0</v>
      </c>
      <c r="AO9" s="4" t="str">
        <f>IF(AG9&lt;&gt;"OK","NEEDS_REVIEW","FINAL")</f>
        <v>FINAL</v>
      </c>
      <c r="AP9" s="4" t="str">
        <f>IF(AG9&lt;&gt;"OK","LOW","HIGH")</f>
        <v>HIGH</v>
      </c>
      <c r="AQ9" s="4" t="str">
        <f>IF(OR(AN9="P0",AN9="P1",AH9=TRUE),"UPSERT_TICKET",IF(AO9="NEEDS_REVIEW","REVIEW_QUEUE","NO_IMMEDIATE_TICKET"))</f>
        <v>UPSERT_TICKET</v>
      </c>
      <c r="AR9" s="5" t="s">
        <v>78</v>
      </c>
      <c r="AS9" s="5" t="s">
        <v>117</v>
      </c>
    </row>
    <row r="10" spans="1:45">
      <c r="A10" s="2" t="s">
        <v>118</v>
      </c>
      <c r="B10" s="2" t="s">
        <v>48</v>
      </c>
      <c r="C10" s="2" t="s">
        <v>119</v>
      </c>
      <c r="D10" s="2" t="s">
        <v>50</v>
      </c>
      <c r="E10" s="2" t="s">
        <v>120</v>
      </c>
      <c r="F10" s="2" t="s">
        <v>121</v>
      </c>
      <c r="G10" s="2" t="s">
        <v>122</v>
      </c>
      <c r="H10" s="2" t="s">
        <v>123</v>
      </c>
      <c r="I10" s="2" t="s">
        <v>124</v>
      </c>
      <c r="J10" s="2" t="s">
        <v>125</v>
      </c>
      <c r="K10" s="7">
        <v>7.5</v>
      </c>
      <c r="L10" s="2" t="s">
        <v>126</v>
      </c>
      <c r="M10" s="8">
        <v>0.31</v>
      </c>
      <c r="N10" s="2" t="s">
        <v>58</v>
      </c>
      <c r="O10" s="8">
        <v>0.89</v>
      </c>
      <c r="P10" s="3" t="b">
        <v>0</v>
      </c>
      <c r="Q10" s="2" t="s">
        <v>58</v>
      </c>
      <c r="R10" s="3" t="b">
        <v>0</v>
      </c>
      <c r="S10" s="2" t="s">
        <v>58</v>
      </c>
      <c r="T10" s="3" t="b">
        <v>1</v>
      </c>
      <c r="U10" s="2" t="s">
        <v>58</v>
      </c>
      <c r="V10" s="3" t="b">
        <v>0</v>
      </c>
      <c r="W10" s="2" t="s">
        <v>58</v>
      </c>
      <c r="X10" s="2" t="s">
        <v>62</v>
      </c>
      <c r="Y10" s="2" t="s">
        <v>58</v>
      </c>
      <c r="Z10" s="2" t="s">
        <v>127</v>
      </c>
      <c r="AA10" s="3" t="b">
        <v>0</v>
      </c>
      <c r="AB10" s="2" t="s">
        <v>61</v>
      </c>
      <c r="AC10" s="9">
        <v>46243.434027777781</v>
      </c>
      <c r="AD10" s="2" t="s">
        <v>62</v>
      </c>
      <c r="AE10" s="2" t="s">
        <v>128</v>
      </c>
      <c r="AF10" s="2" t="s">
        <v>64</v>
      </c>
      <c r="AG10" s="4" t="str">
        <f>IF(OR(N10&lt;&gt;"KNOWN",Q10&lt;&gt;"KNOWN",S10&lt;&gt;"KNOWN",U10&lt;&gt;"KNOWN",W10&lt;&gt;"KNOWN",Y10&lt;&gt;"KNOWN"),"NEEDS_REVIEW","OK")</f>
        <v>OK</v>
      </c>
      <c r="AH10" s="4" t="b">
        <f>IF(OR(AND(Q10="KNOWN",P10=TRUE),AA10=TRUE),TRUE,FALSE)</f>
        <v>0</v>
      </c>
      <c r="AI10" s="10">
        <f>IF(AG10&lt;&gt;"OK",0,IF(AH10=TRUE,Policy_Config!$B$11,IF(M10&gt;=Policy_Config!$C$12,Policy_Config!$B$12,IF(M10&gt;=Policy_Config!$C$13,Policy_Config!$B$13,IF(M10&gt;=Policy_Config!$C$14,Policy_Config!$B$14,Policy_Config!$B$15)))))</f>
        <v>15</v>
      </c>
      <c r="AJ10" s="10">
        <f>IF(AG10&lt;&gt;"OK",0,IF(AND(R10=TRUE,V10=TRUE),Policy_Config!$B$17,IF(OR(R10=TRUE,V10=TRUE),Policy_Config!$B$18,Policy_Config!$B$19)))</f>
        <v>0</v>
      </c>
      <c r="AK10" s="10">
        <f>IF(AG10&lt;&gt;"OK",0,IF(T10=FALSE,Policy_Config!$B$21,IF(K10&gt;=Policy_Config!$C$22,Policy_Config!$B$22,IF(K10&gt;=Policy_Config!$C$23,Policy_Config!$B$23,Policy_Config!$B$24))))</f>
        <v>15</v>
      </c>
      <c r="AL10" s="10">
        <f>IF(AG10&lt;&gt;"OK",0,IF(X10="CRITICAL",Policy_Config!$B$26,IF(X10="HIGH",Policy_Config!$B$27,IF(X10="MEDIUM",Policy_Config!$B$28,Policy_Config!$B$29))))</f>
        <v>10</v>
      </c>
      <c r="AM10" s="10">
        <f>IF(AG10&lt;&gt;"OK","",SUM(AI10:AL10))</f>
        <v>40</v>
      </c>
      <c r="AN10" s="4" t="str">
        <f>IF(AG10&lt;&gt;"OK","REVIEW",IF(AM10&gt;=Policy_Config!$B$5,"P0",IF(AM10&gt;=Policy_Config!$B$6,"P1",IF(AM10&gt;=Policy_Config!$B$7,"P2","P3"))))</f>
        <v>P2</v>
      </c>
      <c r="AO10" s="4" t="str">
        <f>IF(AG10&lt;&gt;"OK","NEEDS_REVIEW","FINAL")</f>
        <v>FINAL</v>
      </c>
      <c r="AP10" s="4" t="str">
        <f>IF(AG10&lt;&gt;"OK","LOW","HIGH")</f>
        <v>HIGH</v>
      </c>
      <c r="AQ10" s="4" t="str">
        <f>IF(OR(AN10="P0",AN10="P1",AH10=TRUE),"UPSERT_TICKET",IF(AO10="NEEDS_REVIEW","REVIEW_QUEUE","NO_IMMEDIATE_TICKET"))</f>
        <v>NO_IMMEDIATE_TICKET</v>
      </c>
      <c r="AR10" s="5" t="s">
        <v>129</v>
      </c>
      <c r="AS10" s="5" t="s">
        <v>130</v>
      </c>
    </row>
    <row r="11" spans="1:45">
      <c r="A11" s="2" t="s">
        <v>131</v>
      </c>
      <c r="B11" s="2" t="s">
        <v>48</v>
      </c>
      <c r="C11" s="2" t="s">
        <v>132</v>
      </c>
      <c r="D11" s="2" t="s">
        <v>50</v>
      </c>
      <c r="E11" s="2" t="s">
        <v>133</v>
      </c>
      <c r="F11" s="2" t="s">
        <v>134</v>
      </c>
      <c r="G11" s="2" t="s">
        <v>135</v>
      </c>
      <c r="H11" s="2" t="s">
        <v>136</v>
      </c>
      <c r="I11" s="2" t="s">
        <v>137</v>
      </c>
      <c r="J11" s="2" t="s">
        <v>138</v>
      </c>
      <c r="K11" s="7">
        <v>8</v>
      </c>
      <c r="L11" s="2" t="s">
        <v>139</v>
      </c>
      <c r="M11" s="8">
        <v>0.22</v>
      </c>
      <c r="N11" s="2" t="s">
        <v>58</v>
      </c>
      <c r="O11" s="8">
        <v>0.78</v>
      </c>
      <c r="P11" s="3" t="b">
        <v>0</v>
      </c>
      <c r="Q11" s="2" t="s">
        <v>58</v>
      </c>
      <c r="R11" s="3" t="b">
        <v>1</v>
      </c>
      <c r="S11" s="2" t="s">
        <v>58</v>
      </c>
      <c r="T11" s="3" t="b">
        <v>1</v>
      </c>
      <c r="U11" s="2" t="s">
        <v>58</v>
      </c>
      <c r="V11" s="3" t="b">
        <v>1</v>
      </c>
      <c r="W11" s="2" t="s">
        <v>58</v>
      </c>
      <c r="X11" s="2" t="s">
        <v>140</v>
      </c>
      <c r="Y11" s="2" t="s">
        <v>58</v>
      </c>
      <c r="Z11" s="2" t="s">
        <v>141</v>
      </c>
      <c r="AA11" s="3" t="b">
        <v>0</v>
      </c>
      <c r="AB11" s="2" t="s">
        <v>61</v>
      </c>
      <c r="AC11" s="9">
        <v>46243.435416666667</v>
      </c>
      <c r="AD11" s="2" t="s">
        <v>62</v>
      </c>
      <c r="AE11" s="2" t="s">
        <v>142</v>
      </c>
      <c r="AF11" s="2" t="s">
        <v>64</v>
      </c>
      <c r="AG11" s="4" t="str">
        <f>IF(OR(N11&lt;&gt;"KNOWN",Q11&lt;&gt;"KNOWN",S11&lt;&gt;"KNOWN",U11&lt;&gt;"KNOWN",W11&lt;&gt;"KNOWN",Y11&lt;&gt;"KNOWN"),"NEEDS_REVIEW","OK")</f>
        <v>OK</v>
      </c>
      <c r="AH11" s="4" t="b">
        <f>IF(OR(AND(Q11="KNOWN",P11=TRUE),AA11=TRUE),TRUE,FALSE)</f>
        <v>0</v>
      </c>
      <c r="AI11" s="10">
        <f>IF(AG11&lt;&gt;"OK",0,IF(AH11=TRUE,Policy_Config!$B$11,IF(M11&gt;=Policy_Config!$C$12,Policy_Config!$B$12,IF(M11&gt;=Policy_Config!$C$13,Policy_Config!$B$13,IF(M11&gt;=Policy_Config!$C$14,Policy_Config!$B$14,Policy_Config!$B$15)))))</f>
        <v>10</v>
      </c>
      <c r="AJ11" s="10">
        <f>IF(AG11&lt;&gt;"OK",0,IF(AND(R11=TRUE,V11=TRUE),Policy_Config!$B$17,IF(OR(R11=TRUE,V11=TRUE),Policy_Config!$B$18,Policy_Config!$B$19)))</f>
        <v>20</v>
      </c>
      <c r="AK11" s="10">
        <f>IF(AG11&lt;&gt;"OK",0,IF(T11=FALSE,Policy_Config!$B$21,IF(K11&gt;=Policy_Config!$C$22,Policy_Config!$B$22,IF(K11&gt;=Policy_Config!$C$23,Policy_Config!$B$23,Policy_Config!$B$24))))</f>
        <v>15</v>
      </c>
      <c r="AL11" s="10">
        <f>IF(AG11&lt;&gt;"OK",0,IF(X11="CRITICAL",Policy_Config!$B$26,IF(X11="HIGH",Policy_Config!$B$27,IF(X11="MEDIUM",Policy_Config!$B$28,Policy_Config!$B$29))))</f>
        <v>5</v>
      </c>
      <c r="AM11" s="10">
        <f>IF(AG11&lt;&gt;"OK","",SUM(AI11:AL11))</f>
        <v>50</v>
      </c>
      <c r="AN11" s="4" t="str">
        <f>IF(AG11&lt;&gt;"OK","REVIEW",IF(AM11&gt;=Policy_Config!$B$5,"P0",IF(AM11&gt;=Policy_Config!$B$6,"P1",IF(AM11&gt;=Policy_Config!$B$7,"P2","P3"))))</f>
        <v>P2</v>
      </c>
      <c r="AO11" s="4" t="str">
        <f>IF(AG11&lt;&gt;"OK","NEEDS_REVIEW","FINAL")</f>
        <v>FINAL</v>
      </c>
      <c r="AP11" s="4" t="str">
        <f>IF(AG11&lt;&gt;"OK","LOW","HIGH")</f>
        <v>HIGH</v>
      </c>
      <c r="AQ11" s="4" t="str">
        <f>IF(OR(AN11="P0",AN11="P1",AH11=TRUE),"UPSERT_TICKET",IF(AO11="NEEDS_REVIEW","REVIEW_QUEUE","NO_IMMEDIATE_TICKET"))</f>
        <v>NO_IMMEDIATE_TICKET</v>
      </c>
      <c r="AR11" s="5" t="s">
        <v>143</v>
      </c>
      <c r="AS11" s="5" t="s">
        <v>144</v>
      </c>
    </row>
    <row r="12" spans="1:45">
      <c r="A12" s="2" t="s">
        <v>145</v>
      </c>
      <c r="B12" s="2" t="s">
        <v>48</v>
      </c>
      <c r="C12" s="2" t="s">
        <v>146</v>
      </c>
      <c r="D12" s="2" t="s">
        <v>50</v>
      </c>
      <c r="E12" s="2" t="s">
        <v>147</v>
      </c>
      <c r="F12" s="2" t="s">
        <v>148</v>
      </c>
      <c r="G12" s="2" t="s">
        <v>149</v>
      </c>
      <c r="H12" s="2" t="s">
        <v>150</v>
      </c>
      <c r="I12" s="2" t="s">
        <v>151</v>
      </c>
      <c r="J12" s="2" t="s">
        <v>152</v>
      </c>
      <c r="K12" s="7">
        <v>7.8</v>
      </c>
      <c r="L12" s="2" t="s">
        <v>153</v>
      </c>
      <c r="M12" s="8">
        <v>0.18</v>
      </c>
      <c r="N12" s="2" t="s">
        <v>58</v>
      </c>
      <c r="O12" s="8">
        <v>0.71</v>
      </c>
      <c r="P12" s="3" t="b">
        <v>0</v>
      </c>
      <c r="Q12" s="2" t="s">
        <v>58</v>
      </c>
      <c r="R12" s="3" t="b">
        <v>0</v>
      </c>
      <c r="S12" s="2" t="s">
        <v>58</v>
      </c>
      <c r="T12" s="3" t="b">
        <v>1</v>
      </c>
      <c r="U12" s="2" t="s">
        <v>58</v>
      </c>
      <c r="V12" s="3" t="b">
        <v>0</v>
      </c>
      <c r="W12" s="2" t="s">
        <v>58</v>
      </c>
      <c r="X12" s="2" t="s">
        <v>62</v>
      </c>
      <c r="Y12" s="2" t="s">
        <v>58</v>
      </c>
      <c r="Z12" s="2" t="s">
        <v>154</v>
      </c>
      <c r="AA12" s="3" t="b">
        <v>0</v>
      </c>
      <c r="AB12" s="2" t="s">
        <v>61</v>
      </c>
      <c r="AC12" s="9">
        <v>46243.436805555553</v>
      </c>
      <c r="AD12" s="2" t="s">
        <v>62</v>
      </c>
      <c r="AE12" s="2" t="s">
        <v>155</v>
      </c>
      <c r="AF12" s="2" t="s">
        <v>64</v>
      </c>
      <c r="AG12" s="4" t="str">
        <f>IF(OR(N12&lt;&gt;"KNOWN",Q12&lt;&gt;"KNOWN",S12&lt;&gt;"KNOWN",U12&lt;&gt;"KNOWN",W12&lt;&gt;"KNOWN",Y12&lt;&gt;"KNOWN"),"NEEDS_REVIEW","OK")</f>
        <v>OK</v>
      </c>
      <c r="AH12" s="4" t="b">
        <f>IF(OR(AND(Q12="KNOWN",P12=TRUE),AA12=TRUE),TRUE,FALSE)</f>
        <v>0</v>
      </c>
      <c r="AI12" s="10">
        <f>IF(AG12&lt;&gt;"OK",0,IF(AH12=TRUE,Policy_Config!$B$11,IF(M12&gt;=Policy_Config!$C$12,Policy_Config!$B$12,IF(M12&gt;=Policy_Config!$C$13,Policy_Config!$B$13,IF(M12&gt;=Policy_Config!$C$14,Policy_Config!$B$14,Policy_Config!$B$15)))))</f>
        <v>10</v>
      </c>
      <c r="AJ12" s="10">
        <f>IF(AG12&lt;&gt;"OK",0,IF(AND(R12=TRUE,V12=TRUE),Policy_Config!$B$17,IF(OR(R12=TRUE,V12=TRUE),Policy_Config!$B$18,Policy_Config!$B$19)))</f>
        <v>0</v>
      </c>
      <c r="AK12" s="10">
        <f>IF(AG12&lt;&gt;"OK",0,IF(T12=FALSE,Policy_Config!$B$21,IF(K12&gt;=Policy_Config!$C$22,Policy_Config!$B$22,IF(K12&gt;=Policy_Config!$C$23,Policy_Config!$B$23,Policy_Config!$B$24))))</f>
        <v>15</v>
      </c>
      <c r="AL12" s="10">
        <f>IF(AG12&lt;&gt;"OK",0,IF(X12="CRITICAL",Policy_Config!$B$26,IF(X12="HIGH",Policy_Config!$B$27,IF(X12="MEDIUM",Policy_Config!$B$28,Policy_Config!$B$29))))</f>
        <v>10</v>
      </c>
      <c r="AM12" s="10">
        <f>IF(AG12&lt;&gt;"OK","",SUM(AI12:AL12))</f>
        <v>35</v>
      </c>
      <c r="AN12" s="4" t="str">
        <f>IF(AG12&lt;&gt;"OK","REVIEW",IF(AM12&gt;=Policy_Config!$B$5,"P0",IF(AM12&gt;=Policy_Config!$B$6,"P1",IF(AM12&gt;=Policy_Config!$B$7,"P2","P3"))))</f>
        <v>P2</v>
      </c>
      <c r="AO12" s="4" t="str">
        <f>IF(AG12&lt;&gt;"OK","NEEDS_REVIEW","FINAL")</f>
        <v>FINAL</v>
      </c>
      <c r="AP12" s="4" t="str">
        <f>IF(AG12&lt;&gt;"OK","LOW","HIGH")</f>
        <v>HIGH</v>
      </c>
      <c r="AQ12" s="4" t="str">
        <f>IF(OR(AN12="P0",AN12="P1",AH12=TRUE),"UPSERT_TICKET",IF(AO12="NEEDS_REVIEW","REVIEW_QUEUE","NO_IMMEDIATE_TICKET"))</f>
        <v>NO_IMMEDIATE_TICKET</v>
      </c>
      <c r="AR12" s="5" t="s">
        <v>156</v>
      </c>
      <c r="AS12" s="5" t="s">
        <v>157</v>
      </c>
    </row>
    <row r="13" spans="1:45">
      <c r="A13" s="2" t="s">
        <v>158</v>
      </c>
      <c r="B13" s="2" t="s">
        <v>48</v>
      </c>
      <c r="C13" s="2" t="s">
        <v>159</v>
      </c>
      <c r="D13" s="2" t="s">
        <v>50</v>
      </c>
      <c r="E13" s="2" t="s">
        <v>160</v>
      </c>
      <c r="F13" s="2" t="s">
        <v>161</v>
      </c>
      <c r="G13" s="2" t="s">
        <v>162</v>
      </c>
      <c r="H13" s="2" t="s">
        <v>163</v>
      </c>
      <c r="I13" s="2" t="s">
        <v>164</v>
      </c>
      <c r="J13" s="2" t="s">
        <v>165</v>
      </c>
      <c r="K13" s="7">
        <v>8.1</v>
      </c>
      <c r="L13" s="2" t="s">
        <v>166</v>
      </c>
      <c r="M13" s="8">
        <v>0.54</v>
      </c>
      <c r="N13" s="2" t="s">
        <v>58</v>
      </c>
      <c r="O13" s="8">
        <v>0.94</v>
      </c>
      <c r="P13" s="3" t="b">
        <v>0</v>
      </c>
      <c r="Q13" s="2" t="s">
        <v>58</v>
      </c>
      <c r="R13" s="3" t="b">
        <v>1</v>
      </c>
      <c r="S13" s="2" t="s">
        <v>58</v>
      </c>
      <c r="T13" s="3" t="b">
        <v>1</v>
      </c>
      <c r="U13" s="2" t="s">
        <v>58</v>
      </c>
      <c r="V13" s="3" t="b">
        <v>1</v>
      </c>
      <c r="W13" s="2" t="s">
        <v>58</v>
      </c>
      <c r="X13" s="2" t="s">
        <v>62</v>
      </c>
      <c r="Y13" s="2" t="s">
        <v>58</v>
      </c>
      <c r="Z13" s="2" t="s">
        <v>167</v>
      </c>
      <c r="AA13" s="3" t="b">
        <v>0</v>
      </c>
      <c r="AB13" s="2" t="s">
        <v>61</v>
      </c>
      <c r="AC13" s="9">
        <v>46243.438194444447</v>
      </c>
      <c r="AD13" s="2" t="s">
        <v>62</v>
      </c>
      <c r="AE13" s="2" t="s">
        <v>168</v>
      </c>
      <c r="AF13" s="2" t="s">
        <v>64</v>
      </c>
      <c r="AG13" s="4" t="str">
        <f>IF(OR(N13&lt;&gt;"KNOWN",Q13&lt;&gt;"KNOWN",S13&lt;&gt;"KNOWN",U13&lt;&gt;"KNOWN",W13&lt;&gt;"KNOWN",Y13&lt;&gt;"KNOWN"),"NEEDS_REVIEW","OK")</f>
        <v>OK</v>
      </c>
      <c r="AH13" s="4" t="b">
        <f>IF(OR(AND(Q13="KNOWN",P13=TRUE),AA13=TRUE),TRUE,FALSE)</f>
        <v>0</v>
      </c>
      <c r="AI13" s="10">
        <f>IF(AG13&lt;&gt;"OK",0,IF(AH13=TRUE,Policy_Config!$B$11,IF(M13&gt;=Policy_Config!$C$12,Policy_Config!$B$12,IF(M13&gt;=Policy_Config!$C$13,Policy_Config!$B$13,IF(M13&gt;=Policy_Config!$C$14,Policy_Config!$B$14,Policy_Config!$B$15)))))</f>
        <v>15</v>
      </c>
      <c r="AJ13" s="10">
        <f>IF(AG13&lt;&gt;"OK",0,IF(AND(R13=TRUE,V13=TRUE),Policy_Config!$B$17,IF(OR(R13=TRUE,V13=TRUE),Policy_Config!$B$18,Policy_Config!$B$19)))</f>
        <v>20</v>
      </c>
      <c r="AK13" s="10">
        <f>IF(AG13&lt;&gt;"OK",0,IF(T13=FALSE,Policy_Config!$B$21,IF(K13&gt;=Policy_Config!$C$22,Policy_Config!$B$22,IF(K13&gt;=Policy_Config!$C$23,Policy_Config!$B$23,Policy_Config!$B$24))))</f>
        <v>15</v>
      </c>
      <c r="AL13" s="10">
        <f>IF(AG13&lt;&gt;"OK",0,IF(X13="CRITICAL",Policy_Config!$B$26,IF(X13="HIGH",Policy_Config!$B$27,IF(X13="MEDIUM",Policy_Config!$B$28,Policy_Config!$B$29))))</f>
        <v>10</v>
      </c>
      <c r="AM13" s="10">
        <f>IF(AG13&lt;&gt;"OK","",SUM(AI13:AL13))</f>
        <v>60</v>
      </c>
      <c r="AN13" s="4" t="str">
        <f>IF(AG13&lt;&gt;"OK","REVIEW",IF(AM13&gt;=Policy_Config!$B$5,"P0",IF(AM13&gt;=Policy_Config!$B$6,"P1",IF(AM13&gt;=Policy_Config!$B$7,"P2","P3"))))</f>
        <v>P1</v>
      </c>
      <c r="AO13" s="4" t="str">
        <f>IF(AG13&lt;&gt;"OK","NEEDS_REVIEW","FINAL")</f>
        <v>FINAL</v>
      </c>
      <c r="AP13" s="4" t="str">
        <f>IF(AG13&lt;&gt;"OK","LOW","HIGH")</f>
        <v>HIGH</v>
      </c>
      <c r="AQ13" s="4" t="str">
        <f>IF(OR(AN13="P0",AN13="P1",AH13=TRUE),"UPSERT_TICKET",IF(AO13="NEEDS_REVIEW","REVIEW_QUEUE","NO_IMMEDIATE_TICKET"))</f>
        <v>UPSERT_TICKET</v>
      </c>
      <c r="AR13" s="5" t="s">
        <v>169</v>
      </c>
      <c r="AS13" s="5" t="s">
        <v>170</v>
      </c>
    </row>
    <row r="14" spans="1:45">
      <c r="A14" s="2" t="s">
        <v>171</v>
      </c>
      <c r="B14" s="2" t="s">
        <v>48</v>
      </c>
      <c r="C14" s="2" t="s">
        <v>172</v>
      </c>
      <c r="D14" s="2" t="s">
        <v>50</v>
      </c>
      <c r="E14" s="2" t="s">
        <v>173</v>
      </c>
      <c r="F14" s="2" t="s">
        <v>174</v>
      </c>
      <c r="G14" s="2" t="s">
        <v>175</v>
      </c>
      <c r="H14" s="2" t="s">
        <v>176</v>
      </c>
      <c r="I14" s="2" t="s">
        <v>177</v>
      </c>
      <c r="J14" s="2" t="s">
        <v>178</v>
      </c>
      <c r="K14" s="7">
        <v>9</v>
      </c>
      <c r="L14" s="2" t="s">
        <v>179</v>
      </c>
      <c r="M14" s="8"/>
      <c r="N14" s="2" t="s">
        <v>180</v>
      </c>
      <c r="O14" s="8"/>
      <c r="P14" s="2"/>
      <c r="Q14" s="2" t="s">
        <v>180</v>
      </c>
      <c r="R14" s="3" t="b">
        <v>1</v>
      </c>
      <c r="S14" s="2" t="s">
        <v>58</v>
      </c>
      <c r="T14" s="3" t="b">
        <v>1</v>
      </c>
      <c r="U14" s="2" t="s">
        <v>58</v>
      </c>
      <c r="V14" s="3" t="b">
        <v>1</v>
      </c>
      <c r="W14" s="2" t="s">
        <v>58</v>
      </c>
      <c r="X14" s="2" t="s">
        <v>59</v>
      </c>
      <c r="Y14" s="2" t="s">
        <v>58</v>
      </c>
      <c r="Z14" s="2" t="s">
        <v>181</v>
      </c>
      <c r="AA14" s="3" t="b">
        <v>0</v>
      </c>
      <c r="AB14" s="2" t="s">
        <v>182</v>
      </c>
      <c r="AC14" s="9">
        <v>46243.439583333333</v>
      </c>
      <c r="AD14" s="2" t="s">
        <v>183</v>
      </c>
      <c r="AE14" s="2" t="s">
        <v>184</v>
      </c>
      <c r="AF14" s="2" t="s">
        <v>64</v>
      </c>
      <c r="AG14" s="4" t="str">
        <f>IF(OR(N14&lt;&gt;"KNOWN",Q14&lt;&gt;"KNOWN",S14&lt;&gt;"KNOWN",U14&lt;&gt;"KNOWN",W14&lt;&gt;"KNOWN",Y14&lt;&gt;"KNOWN"),"NEEDS_REVIEW","OK")</f>
        <v>NEEDS_REVIEW</v>
      </c>
      <c r="AH14" s="4" t="b">
        <f>IF(OR(AND(Q14="KNOWN",P14=TRUE),AA14=TRUE),TRUE,FALSE)</f>
        <v>0</v>
      </c>
      <c r="AI14" s="10">
        <f>IF(AG14&lt;&gt;"OK",0,IF(AH14=TRUE,Policy_Config!$B$11,IF(M14&gt;=Policy_Config!$C$12,Policy_Config!$B$12,IF(M14&gt;=Policy_Config!$C$13,Policy_Config!$B$13,IF(M14&gt;=Policy_Config!$C$14,Policy_Config!$B$14,Policy_Config!$B$15)))))</f>
        <v>0</v>
      </c>
      <c r="AJ14" s="10">
        <f>IF(AG14&lt;&gt;"OK",0,IF(AND(R14=TRUE,V14=TRUE),Policy_Config!$B$17,IF(OR(R14=TRUE,V14=TRUE),Policy_Config!$B$18,Policy_Config!$B$19)))</f>
        <v>0</v>
      </c>
      <c r="AK14" s="10">
        <f>IF(AG14&lt;&gt;"OK",0,IF(T14=FALSE,Policy_Config!$B$21,IF(K14&gt;=Policy_Config!$C$22,Policy_Config!$B$22,IF(K14&gt;=Policy_Config!$C$23,Policy_Config!$B$23,Policy_Config!$B$24))))</f>
        <v>0</v>
      </c>
      <c r="AL14" s="10">
        <f>IF(AG14&lt;&gt;"OK",0,IF(X14="CRITICAL",Policy_Config!$B$26,IF(X14="HIGH",Policy_Config!$B$27,IF(X14="MEDIUM",Policy_Config!$B$28,Policy_Config!$B$29))))</f>
        <v>0</v>
      </c>
      <c r="AM14" s="10" t="str">
        <f>IF(AG14&lt;&gt;"OK","",SUM(AI14:AL14))</f>
        <v/>
      </c>
      <c r="AN14" s="4" t="str">
        <f>IF(AG14&lt;&gt;"OK","REVIEW",IF(AM14&gt;=Policy_Config!$B$5,"P0",IF(AM14&gt;=Policy_Config!$B$6,"P1",IF(AM14&gt;=Policy_Config!$B$7,"P2","P3"))))</f>
        <v>REVIEW</v>
      </c>
      <c r="AO14" s="4" t="str">
        <f>IF(AG14&lt;&gt;"OK","NEEDS_REVIEW","FINAL")</f>
        <v>NEEDS_REVIEW</v>
      </c>
      <c r="AP14" s="4" t="str">
        <f>IF(AG14&lt;&gt;"OK","LOW","HIGH")</f>
        <v>LOW</v>
      </c>
      <c r="AQ14" s="4" t="str">
        <f>IF(OR(AN14="P0",AN14="P1",AH14=TRUE),"UPSERT_TICKET",IF(AO14="NEEDS_REVIEW","REVIEW_QUEUE","NO_IMMEDIATE_TICKET"))</f>
        <v>REVIEW_QUEUE</v>
      </c>
      <c r="AR14" s="5" t="s">
        <v>185</v>
      </c>
      <c r="AS14" s="5" t="s">
        <v>186</v>
      </c>
    </row>
    <row r="15" spans="1:45">
      <c r="A15" s="2" t="s">
        <v>187</v>
      </c>
      <c r="B15" s="2" t="s">
        <v>48</v>
      </c>
      <c r="C15" s="2" t="s">
        <v>188</v>
      </c>
      <c r="D15" s="2" t="s">
        <v>50</v>
      </c>
      <c r="E15" s="2" t="s">
        <v>189</v>
      </c>
      <c r="F15" s="2" t="s">
        <v>190</v>
      </c>
      <c r="G15" s="2" t="s">
        <v>191</v>
      </c>
      <c r="H15" s="2" t="s">
        <v>192</v>
      </c>
      <c r="I15" s="2" t="s">
        <v>193</v>
      </c>
      <c r="J15" s="2" t="s">
        <v>194</v>
      </c>
      <c r="K15" s="7">
        <v>6.5</v>
      </c>
      <c r="L15" s="2" t="s">
        <v>195</v>
      </c>
      <c r="M15" s="8">
        <v>0.44</v>
      </c>
      <c r="N15" s="2" t="s">
        <v>196</v>
      </c>
      <c r="O15" s="8">
        <v>0.91</v>
      </c>
      <c r="P15" s="3" t="b">
        <v>0</v>
      </c>
      <c r="Q15" s="2" t="s">
        <v>196</v>
      </c>
      <c r="R15" s="3" t="b">
        <v>1</v>
      </c>
      <c r="S15" s="2" t="s">
        <v>58</v>
      </c>
      <c r="T15" s="3" t="b">
        <v>1</v>
      </c>
      <c r="U15" s="2" t="s">
        <v>58</v>
      </c>
      <c r="V15" s="3" t="b">
        <v>1</v>
      </c>
      <c r="W15" s="2" t="s">
        <v>58</v>
      </c>
      <c r="X15" s="2" t="s">
        <v>140</v>
      </c>
      <c r="Y15" s="2" t="s">
        <v>58</v>
      </c>
      <c r="Z15" s="2" t="s">
        <v>197</v>
      </c>
      <c r="AA15" s="3" t="b">
        <v>0</v>
      </c>
      <c r="AB15" s="2" t="s">
        <v>198</v>
      </c>
      <c r="AC15" s="9">
        <v>46243.440972222219</v>
      </c>
      <c r="AD15" s="2" t="s">
        <v>183</v>
      </c>
      <c r="AE15" s="2" t="s">
        <v>199</v>
      </c>
      <c r="AF15" s="2" t="s">
        <v>64</v>
      </c>
      <c r="AG15" s="4" t="str">
        <f>IF(OR(N15&lt;&gt;"KNOWN",Q15&lt;&gt;"KNOWN",S15&lt;&gt;"KNOWN",U15&lt;&gt;"KNOWN",W15&lt;&gt;"KNOWN",Y15&lt;&gt;"KNOWN"),"NEEDS_REVIEW","OK")</f>
        <v>NEEDS_REVIEW</v>
      </c>
      <c r="AH15" s="4" t="b">
        <f>IF(OR(AND(Q15="KNOWN",P15=TRUE),AA15=TRUE),TRUE,FALSE)</f>
        <v>0</v>
      </c>
      <c r="AI15" s="10">
        <f>IF(AG15&lt;&gt;"OK",0,IF(AH15=TRUE,Policy_Config!$B$11,IF(M15&gt;=Policy_Config!$C$12,Policy_Config!$B$12,IF(M15&gt;=Policy_Config!$C$13,Policy_Config!$B$13,IF(M15&gt;=Policy_Config!$C$14,Policy_Config!$B$14,Policy_Config!$B$15)))))</f>
        <v>0</v>
      </c>
      <c r="AJ15" s="10">
        <f>IF(AG15&lt;&gt;"OK",0,IF(AND(R15=TRUE,V15=TRUE),Policy_Config!$B$17,IF(OR(R15=TRUE,V15=TRUE),Policy_Config!$B$18,Policy_Config!$B$19)))</f>
        <v>0</v>
      </c>
      <c r="AK15" s="10">
        <f>IF(AG15&lt;&gt;"OK",0,IF(T15=FALSE,Policy_Config!$B$21,IF(K15&gt;=Policy_Config!$C$22,Policy_Config!$B$22,IF(K15&gt;=Policy_Config!$C$23,Policy_Config!$B$23,Policy_Config!$B$24))))</f>
        <v>0</v>
      </c>
      <c r="AL15" s="10">
        <f>IF(AG15&lt;&gt;"OK",0,IF(X15="CRITICAL",Policy_Config!$B$26,IF(X15="HIGH",Policy_Config!$B$27,IF(X15="MEDIUM",Policy_Config!$B$28,Policy_Config!$B$29))))</f>
        <v>0</v>
      </c>
      <c r="AM15" s="10" t="str">
        <f>IF(AG15&lt;&gt;"OK","",SUM(AI15:AL15))</f>
        <v/>
      </c>
      <c r="AN15" s="4" t="str">
        <f>IF(AG15&lt;&gt;"OK","REVIEW",IF(AM15&gt;=Policy_Config!$B$5,"P0",IF(AM15&gt;=Policy_Config!$B$6,"P1",IF(AM15&gt;=Policy_Config!$B$7,"P2","P3"))))</f>
        <v>REVIEW</v>
      </c>
      <c r="AO15" s="4" t="str">
        <f>IF(AG15&lt;&gt;"OK","NEEDS_REVIEW","FINAL")</f>
        <v>NEEDS_REVIEW</v>
      </c>
      <c r="AP15" s="4" t="str">
        <f>IF(AG15&lt;&gt;"OK","LOW","HIGH")</f>
        <v>LOW</v>
      </c>
      <c r="AQ15" s="4" t="str">
        <f>IF(OR(AN15="P0",AN15="P1",AH15=TRUE),"UPSERT_TICKET",IF(AO15="NEEDS_REVIEW","REVIEW_QUEUE","NO_IMMEDIATE_TICKET"))</f>
        <v>REVIEW_QUEUE</v>
      </c>
      <c r="AR15" s="5" t="s">
        <v>200</v>
      </c>
      <c r="AS15" s="5" t="s">
        <v>201</v>
      </c>
    </row>
    <row r="16" spans="1:45">
      <c r="A16" s="2" t="s">
        <v>202</v>
      </c>
      <c r="B16" s="2" t="s">
        <v>48</v>
      </c>
      <c r="C16" s="2" t="s">
        <v>203</v>
      </c>
      <c r="D16" s="2" t="s">
        <v>50</v>
      </c>
      <c r="E16" s="2" t="s">
        <v>204</v>
      </c>
      <c r="F16" s="2" t="s">
        <v>205</v>
      </c>
      <c r="G16" s="2" t="s">
        <v>206</v>
      </c>
      <c r="H16" s="2" t="s">
        <v>207</v>
      </c>
      <c r="I16" s="2" t="s">
        <v>208</v>
      </c>
      <c r="J16" s="2" t="s">
        <v>209</v>
      </c>
      <c r="K16" s="7">
        <v>7.2</v>
      </c>
      <c r="L16" s="2" t="s">
        <v>210</v>
      </c>
      <c r="M16" s="8">
        <v>0.12</v>
      </c>
      <c r="N16" s="2" t="s">
        <v>58</v>
      </c>
      <c r="O16" s="8">
        <v>0.62</v>
      </c>
      <c r="P16" s="3" t="b">
        <v>0</v>
      </c>
      <c r="Q16" s="2" t="s">
        <v>58</v>
      </c>
      <c r="R16" s="3" t="b">
        <v>0</v>
      </c>
      <c r="S16" s="2" t="s">
        <v>58</v>
      </c>
      <c r="T16" s="3" t="b">
        <v>0</v>
      </c>
      <c r="U16" s="2" t="s">
        <v>58</v>
      </c>
      <c r="V16" s="3" t="b">
        <v>0</v>
      </c>
      <c r="W16" s="2" t="s">
        <v>58</v>
      </c>
      <c r="X16" s="2" t="s">
        <v>183</v>
      </c>
      <c r="Y16" s="2" t="s">
        <v>58</v>
      </c>
      <c r="Z16" s="2" t="s">
        <v>211</v>
      </c>
      <c r="AA16" s="3" t="b">
        <v>0</v>
      </c>
      <c r="AB16" s="2" t="s">
        <v>61</v>
      </c>
      <c r="AC16" s="9">
        <v>46243.442361111112</v>
      </c>
      <c r="AD16" s="2" t="s">
        <v>62</v>
      </c>
      <c r="AE16" s="2" t="s">
        <v>212</v>
      </c>
      <c r="AF16" s="2" t="s">
        <v>64</v>
      </c>
      <c r="AG16" s="4" t="str">
        <f>IF(OR(N16&lt;&gt;"KNOWN",Q16&lt;&gt;"KNOWN",S16&lt;&gt;"KNOWN",U16&lt;&gt;"KNOWN",W16&lt;&gt;"KNOWN",Y16&lt;&gt;"KNOWN"),"NEEDS_REVIEW","OK")</f>
        <v>OK</v>
      </c>
      <c r="AH16" s="4" t="b">
        <f>IF(OR(AND(Q16="KNOWN",P16=TRUE),AA16=TRUE),TRUE,FALSE)</f>
        <v>0</v>
      </c>
      <c r="AI16" s="10">
        <f>IF(AG16&lt;&gt;"OK",0,IF(AH16=TRUE,Policy_Config!$B$11,IF(M16&gt;=Policy_Config!$C$12,Policy_Config!$B$12,IF(M16&gt;=Policy_Config!$C$13,Policy_Config!$B$13,IF(M16&gt;=Policy_Config!$C$14,Policy_Config!$B$14,Policy_Config!$B$15)))))</f>
        <v>10</v>
      </c>
      <c r="AJ16" s="10">
        <f>IF(AG16&lt;&gt;"OK",0,IF(AND(R16=TRUE,V16=TRUE),Policy_Config!$B$17,IF(OR(R16=TRUE,V16=TRUE),Policy_Config!$B$18,Policy_Config!$B$19)))</f>
        <v>0</v>
      </c>
      <c r="AK16" s="10">
        <f>IF(AG16&lt;&gt;"OK",0,IF(T16=FALSE,Policy_Config!$B$21,IF(K16&gt;=Policy_Config!$C$22,Policy_Config!$B$22,IF(K16&gt;=Policy_Config!$C$23,Policy_Config!$B$23,Policy_Config!$B$24))))</f>
        <v>0</v>
      </c>
      <c r="AL16" s="10">
        <f>IF(AG16&lt;&gt;"OK",0,IF(X16="CRITICAL",Policy_Config!$B$26,IF(X16="HIGH",Policy_Config!$B$27,IF(X16="MEDIUM",Policy_Config!$B$28,Policy_Config!$B$29))))</f>
        <v>2</v>
      </c>
      <c r="AM16" s="10">
        <f>IF(AG16&lt;&gt;"OK","",SUM(AI16:AL16))</f>
        <v>12</v>
      </c>
      <c r="AN16" s="4" t="str">
        <f>IF(AG16&lt;&gt;"OK","REVIEW",IF(AM16&gt;=Policy_Config!$B$5,"P0",IF(AM16&gt;=Policy_Config!$B$6,"P1",IF(AM16&gt;=Policy_Config!$B$7,"P2","P3"))))</f>
        <v>P3</v>
      </c>
      <c r="AO16" s="4" t="str">
        <f>IF(AG16&lt;&gt;"OK","NEEDS_REVIEW","FINAL")</f>
        <v>FINAL</v>
      </c>
      <c r="AP16" s="4" t="str">
        <f>IF(AG16&lt;&gt;"OK","LOW","HIGH")</f>
        <v>HIGH</v>
      </c>
      <c r="AQ16" s="4" t="str">
        <f>IF(OR(AN16="P0",AN16="P1",AH16=TRUE),"UPSERT_TICKET",IF(AO16="NEEDS_REVIEW","REVIEW_QUEUE","NO_IMMEDIATE_TICKET"))</f>
        <v>NO_IMMEDIATE_TICKET</v>
      </c>
      <c r="AR16" s="5" t="s">
        <v>213</v>
      </c>
      <c r="AS16" s="5" t="s">
        <v>214</v>
      </c>
    </row>
    <row r="17" spans="1:45">
      <c r="A17" s="2" t="s">
        <v>215</v>
      </c>
      <c r="B17" s="2" t="s">
        <v>48</v>
      </c>
      <c r="C17" s="2" t="s">
        <v>216</v>
      </c>
      <c r="D17" s="2" t="s">
        <v>50</v>
      </c>
      <c r="E17" s="2" t="s">
        <v>217</v>
      </c>
      <c r="F17" s="2" t="s">
        <v>218</v>
      </c>
      <c r="G17" s="2" t="s">
        <v>219</v>
      </c>
      <c r="H17" s="2" t="s">
        <v>220</v>
      </c>
      <c r="I17" s="2" t="s">
        <v>221</v>
      </c>
      <c r="J17" s="2" t="s">
        <v>222</v>
      </c>
      <c r="K17" s="7">
        <v>9.8000000000000007</v>
      </c>
      <c r="L17" s="2" t="s">
        <v>223</v>
      </c>
      <c r="M17" s="8">
        <v>0.94</v>
      </c>
      <c r="N17" s="2" t="s">
        <v>58</v>
      </c>
      <c r="O17" s="8">
        <v>0.997</v>
      </c>
      <c r="P17" s="3" t="b">
        <v>0</v>
      </c>
      <c r="Q17" s="2" t="s">
        <v>58</v>
      </c>
      <c r="R17" s="3" t="b">
        <v>1</v>
      </c>
      <c r="S17" s="2" t="s">
        <v>58</v>
      </c>
      <c r="T17" s="3" t="b">
        <v>1</v>
      </c>
      <c r="U17" s="2" t="s">
        <v>58</v>
      </c>
      <c r="V17" s="3" t="b">
        <v>1</v>
      </c>
      <c r="W17" s="2" t="s">
        <v>58</v>
      </c>
      <c r="X17" s="2" t="s">
        <v>59</v>
      </c>
      <c r="Y17" s="2" t="s">
        <v>58</v>
      </c>
      <c r="Z17" s="2" t="s">
        <v>224</v>
      </c>
      <c r="AA17" s="3" t="b">
        <v>0</v>
      </c>
      <c r="AB17" s="2" t="s">
        <v>61</v>
      </c>
      <c r="AC17" s="9">
        <v>46243.443749999999</v>
      </c>
      <c r="AD17" s="2" t="s">
        <v>62</v>
      </c>
      <c r="AE17" s="2" t="s">
        <v>225</v>
      </c>
      <c r="AF17" s="2" t="s">
        <v>64</v>
      </c>
      <c r="AG17" s="4" t="str">
        <f>IF(OR(N17&lt;&gt;"KNOWN",Q17&lt;&gt;"KNOWN",S17&lt;&gt;"KNOWN",U17&lt;&gt;"KNOWN",W17&lt;&gt;"KNOWN",Y17&lt;&gt;"KNOWN"),"NEEDS_REVIEW","OK")</f>
        <v>OK</v>
      </c>
      <c r="AH17" s="4" t="b">
        <f>IF(OR(AND(Q17="KNOWN",P17=TRUE),AA17=TRUE),TRUE,FALSE)</f>
        <v>0</v>
      </c>
      <c r="AI17" s="10">
        <f>IF(AG17&lt;&gt;"OK",0,IF(AH17=TRUE,Policy_Config!$B$11,IF(M17&gt;=Policy_Config!$C$12,Policy_Config!$B$12,IF(M17&gt;=Policy_Config!$C$13,Policy_Config!$B$13,IF(M17&gt;=Policy_Config!$C$14,Policy_Config!$B$14,Policy_Config!$B$15)))))</f>
        <v>25</v>
      </c>
      <c r="AJ17" s="10">
        <f>IF(AG17&lt;&gt;"OK",0,IF(AND(R17=TRUE,V17=TRUE),Policy_Config!$B$17,IF(OR(R17=TRUE,V17=TRUE),Policy_Config!$B$18,Policy_Config!$B$19)))</f>
        <v>20</v>
      </c>
      <c r="AK17" s="10">
        <f>IF(AG17&lt;&gt;"OK",0,IF(T17=FALSE,Policy_Config!$B$21,IF(K17&gt;=Policy_Config!$C$22,Policy_Config!$B$22,IF(K17&gt;=Policy_Config!$C$23,Policy_Config!$B$23,Policy_Config!$B$24))))</f>
        <v>20</v>
      </c>
      <c r="AL17" s="10">
        <f>IF(AG17&lt;&gt;"OK",0,IF(X17="CRITICAL",Policy_Config!$B$26,IF(X17="HIGH",Policy_Config!$B$27,IF(X17="MEDIUM",Policy_Config!$B$28,Policy_Config!$B$29))))</f>
        <v>15</v>
      </c>
      <c r="AM17" s="10">
        <f>IF(AG17&lt;&gt;"OK","",SUM(AI17:AL17))</f>
        <v>80</v>
      </c>
      <c r="AN17" s="4" t="str">
        <f>IF(AG17&lt;&gt;"OK","REVIEW",IF(AM17&gt;=Policy_Config!$B$5,"P0",IF(AM17&gt;=Policy_Config!$B$6,"P1",IF(AM17&gt;=Policy_Config!$B$7,"P2","P3"))))</f>
        <v>P0</v>
      </c>
      <c r="AO17" s="4" t="str">
        <f>IF(AG17&lt;&gt;"OK","NEEDS_REVIEW","FINAL")</f>
        <v>FINAL</v>
      </c>
      <c r="AP17" s="4" t="str">
        <f>IF(AG17&lt;&gt;"OK","LOW","HIGH")</f>
        <v>HIGH</v>
      </c>
      <c r="AQ17" s="4" t="str">
        <f>IF(OR(AN17="P0",AN17="P1",AH17=TRUE),"UPSERT_TICKET",IF(AO17="NEEDS_REVIEW","REVIEW_QUEUE","NO_IMMEDIATE_TICKET"))</f>
        <v>UPSERT_TICKET</v>
      </c>
      <c r="AR17" s="5" t="s">
        <v>226</v>
      </c>
      <c r="AS17" s="5" t="s">
        <v>227</v>
      </c>
    </row>
    <row r="18" spans="1:45">
      <c r="A18" s="2" t="s">
        <v>228</v>
      </c>
      <c r="B18" s="2" t="s">
        <v>48</v>
      </c>
      <c r="C18" s="2" t="s">
        <v>229</v>
      </c>
      <c r="D18" s="2" t="s">
        <v>50</v>
      </c>
      <c r="E18" s="2" t="s">
        <v>230</v>
      </c>
      <c r="F18" s="2" t="s">
        <v>231</v>
      </c>
      <c r="G18" s="2" t="s">
        <v>232</v>
      </c>
      <c r="H18" s="2" t="s">
        <v>233</v>
      </c>
      <c r="I18" s="2" t="s">
        <v>234</v>
      </c>
      <c r="J18" s="2" t="s">
        <v>235</v>
      </c>
      <c r="K18" s="7">
        <v>6.1</v>
      </c>
      <c r="L18" s="2" t="s">
        <v>236</v>
      </c>
      <c r="M18" s="8">
        <v>0.08</v>
      </c>
      <c r="N18" s="2" t="s">
        <v>58</v>
      </c>
      <c r="O18" s="8">
        <v>0.41</v>
      </c>
      <c r="P18" s="3" t="b">
        <v>0</v>
      </c>
      <c r="Q18" s="2" t="s">
        <v>58</v>
      </c>
      <c r="R18" s="3" t="b">
        <v>1</v>
      </c>
      <c r="S18" s="2" t="s">
        <v>58</v>
      </c>
      <c r="T18" s="3" t="b">
        <v>1</v>
      </c>
      <c r="U18" s="2" t="s">
        <v>58</v>
      </c>
      <c r="V18" s="3" t="b">
        <v>1</v>
      </c>
      <c r="W18" s="2" t="s">
        <v>58</v>
      </c>
      <c r="X18" s="2" t="s">
        <v>140</v>
      </c>
      <c r="Y18" s="2" t="s">
        <v>58</v>
      </c>
      <c r="Z18" s="2" t="s">
        <v>237</v>
      </c>
      <c r="AA18" s="3" t="b">
        <v>0</v>
      </c>
      <c r="AB18" s="2" t="s">
        <v>61</v>
      </c>
      <c r="AC18" s="9">
        <v>46243.445138888892</v>
      </c>
      <c r="AD18" s="2" t="s">
        <v>62</v>
      </c>
      <c r="AE18" s="2" t="s">
        <v>238</v>
      </c>
      <c r="AF18" s="2" t="s">
        <v>64</v>
      </c>
      <c r="AG18" s="4" t="str">
        <f>IF(OR(N18&lt;&gt;"KNOWN",Q18&lt;&gt;"KNOWN",S18&lt;&gt;"KNOWN",U18&lt;&gt;"KNOWN",W18&lt;&gt;"KNOWN",Y18&lt;&gt;"KNOWN"),"NEEDS_REVIEW","OK")</f>
        <v>OK</v>
      </c>
      <c r="AH18" s="4" t="b">
        <f>IF(OR(AND(Q18="KNOWN",P18=TRUE),AA18=TRUE),TRUE,FALSE)</f>
        <v>0</v>
      </c>
      <c r="AI18" s="10">
        <f>IF(AG18&lt;&gt;"OK",0,IF(AH18=TRUE,Policy_Config!$B$11,IF(M18&gt;=Policy_Config!$C$12,Policy_Config!$B$12,IF(M18&gt;=Policy_Config!$C$13,Policy_Config!$B$13,IF(M18&gt;=Policy_Config!$C$14,Policy_Config!$B$14,Policy_Config!$B$15)))))</f>
        <v>10</v>
      </c>
      <c r="AJ18" s="10">
        <f>IF(AG18&lt;&gt;"OK",0,IF(AND(R18=TRUE,V18=TRUE),Policy_Config!$B$17,IF(OR(R18=TRUE,V18=TRUE),Policy_Config!$B$18,Policy_Config!$B$19)))</f>
        <v>20</v>
      </c>
      <c r="AK18" s="10">
        <f>IF(AG18&lt;&gt;"OK",0,IF(T18=FALSE,Policy_Config!$B$21,IF(K18&gt;=Policy_Config!$C$22,Policy_Config!$B$22,IF(K18&gt;=Policy_Config!$C$23,Policy_Config!$B$23,Policy_Config!$B$24))))</f>
        <v>10</v>
      </c>
      <c r="AL18" s="10">
        <f>IF(AG18&lt;&gt;"OK",0,IF(X18="CRITICAL",Policy_Config!$B$26,IF(X18="HIGH",Policy_Config!$B$27,IF(X18="MEDIUM",Policy_Config!$B$28,Policy_Config!$B$29))))</f>
        <v>5</v>
      </c>
      <c r="AM18" s="10">
        <f>IF(AG18&lt;&gt;"OK","",SUM(AI18:AL18))</f>
        <v>45</v>
      </c>
      <c r="AN18" s="4" t="str">
        <f>IF(AG18&lt;&gt;"OK","REVIEW",IF(AM18&gt;=Policy_Config!$B$5,"P0",IF(AM18&gt;=Policy_Config!$B$6,"P1",IF(AM18&gt;=Policy_Config!$B$7,"P2","P3"))))</f>
        <v>P2</v>
      </c>
      <c r="AO18" s="4" t="str">
        <f>IF(AG18&lt;&gt;"OK","NEEDS_REVIEW","FINAL")</f>
        <v>FINAL</v>
      </c>
      <c r="AP18" s="4" t="str">
        <f>IF(AG18&lt;&gt;"OK","LOW","HIGH")</f>
        <v>HIGH</v>
      </c>
      <c r="AQ18" s="4" t="str">
        <f>IF(OR(AN18="P0",AN18="P1",AH18=TRUE),"UPSERT_TICKET",IF(AO18="NEEDS_REVIEW","REVIEW_QUEUE","NO_IMMEDIATE_TICKET"))</f>
        <v>NO_IMMEDIATE_TICKET</v>
      </c>
      <c r="AR18" s="5" t="s">
        <v>239</v>
      </c>
      <c r="AS18" s="5" t="s">
        <v>240</v>
      </c>
    </row>
    <row r="19" spans="1:45">
      <c r="A19" s="2" t="s">
        <v>241</v>
      </c>
      <c r="B19" s="2" t="s">
        <v>48</v>
      </c>
      <c r="C19" s="2" t="s">
        <v>242</v>
      </c>
      <c r="D19" s="2" t="s">
        <v>50</v>
      </c>
      <c r="E19" s="2" t="s">
        <v>243</v>
      </c>
      <c r="F19" s="2" t="s">
        <v>244</v>
      </c>
      <c r="G19" s="2" t="s">
        <v>245</v>
      </c>
      <c r="H19" s="2" t="s">
        <v>246</v>
      </c>
      <c r="I19" s="2" t="s">
        <v>247</v>
      </c>
      <c r="J19" s="2" t="s">
        <v>248</v>
      </c>
      <c r="K19" s="7">
        <v>8.8000000000000007</v>
      </c>
      <c r="L19" s="2" t="s">
        <v>249</v>
      </c>
      <c r="M19" s="8">
        <v>0.72</v>
      </c>
      <c r="N19" s="2" t="s">
        <v>58</v>
      </c>
      <c r="O19" s="8">
        <v>0.97299999999999998</v>
      </c>
      <c r="P19" s="3" t="b">
        <v>0</v>
      </c>
      <c r="Q19" s="2" t="s">
        <v>58</v>
      </c>
      <c r="R19" s="3" t="b">
        <v>0</v>
      </c>
      <c r="S19" s="2" t="s">
        <v>58</v>
      </c>
      <c r="T19" s="3" t="b">
        <v>1</v>
      </c>
      <c r="U19" s="2" t="s">
        <v>58</v>
      </c>
      <c r="V19" s="3" t="b">
        <v>1</v>
      </c>
      <c r="W19" s="2" t="s">
        <v>58</v>
      </c>
      <c r="X19" s="2" t="s">
        <v>62</v>
      </c>
      <c r="Y19" s="2" t="s">
        <v>58</v>
      </c>
      <c r="Z19" s="2" t="s">
        <v>250</v>
      </c>
      <c r="AA19" s="3" t="b">
        <v>1</v>
      </c>
      <c r="AB19" s="2" t="s">
        <v>251</v>
      </c>
      <c r="AC19" s="9">
        <v>46243.446527777778</v>
      </c>
      <c r="AD19" s="2" t="s">
        <v>62</v>
      </c>
      <c r="AE19" s="2" t="s">
        <v>252</v>
      </c>
      <c r="AF19" s="2" t="s">
        <v>64</v>
      </c>
      <c r="AG19" s="4" t="str">
        <f>IF(OR(N19&lt;&gt;"KNOWN",Q19&lt;&gt;"KNOWN",S19&lt;&gt;"KNOWN",U19&lt;&gt;"KNOWN",W19&lt;&gt;"KNOWN",Y19&lt;&gt;"KNOWN"),"NEEDS_REVIEW","OK")</f>
        <v>OK</v>
      </c>
      <c r="AH19" s="4" t="b">
        <f>IF(OR(AND(Q19="KNOWN",P19=TRUE),AA19=TRUE),TRUE,FALSE)</f>
        <v>1</v>
      </c>
      <c r="AI19" s="10">
        <f>IF(AG19&lt;&gt;"OK",0,IF(AH19=TRUE,Policy_Config!$B$11,IF(M19&gt;=Policy_Config!$C$12,Policy_Config!$B$12,IF(M19&gt;=Policy_Config!$C$13,Policy_Config!$B$13,IF(M19&gt;=Policy_Config!$C$14,Policy_Config!$B$14,Policy_Config!$B$15)))))</f>
        <v>30</v>
      </c>
      <c r="AJ19" s="10">
        <f>IF(AG19&lt;&gt;"OK",0,IF(AND(R19=TRUE,V19=TRUE),Policy_Config!$B$17,IF(OR(R19=TRUE,V19=TRUE),Policy_Config!$B$18,Policy_Config!$B$19)))</f>
        <v>10</v>
      </c>
      <c r="AK19" s="10">
        <f>IF(AG19&lt;&gt;"OK",0,IF(T19=FALSE,Policy_Config!$B$21,IF(K19&gt;=Policy_Config!$C$22,Policy_Config!$B$22,IF(K19&gt;=Policy_Config!$C$23,Policy_Config!$B$23,Policy_Config!$B$24))))</f>
        <v>15</v>
      </c>
      <c r="AL19" s="10">
        <f>IF(AG19&lt;&gt;"OK",0,IF(X19="CRITICAL",Policy_Config!$B$26,IF(X19="HIGH",Policy_Config!$B$27,IF(X19="MEDIUM",Policy_Config!$B$28,Policy_Config!$B$29))))</f>
        <v>10</v>
      </c>
      <c r="AM19" s="10">
        <f>IF(AG19&lt;&gt;"OK","",SUM(AI19:AL19))</f>
        <v>65</v>
      </c>
      <c r="AN19" s="4" t="str">
        <f>IF(AG19&lt;&gt;"OK","REVIEW",IF(AM19&gt;=Policy_Config!$B$5,"P0",IF(AM19&gt;=Policy_Config!$B$6,"P1",IF(AM19&gt;=Policy_Config!$B$7,"P2","P3"))))</f>
        <v>P1</v>
      </c>
      <c r="AO19" s="4" t="str">
        <f>IF(AG19&lt;&gt;"OK","NEEDS_REVIEW","FINAL")</f>
        <v>FINAL</v>
      </c>
      <c r="AP19" s="4" t="str">
        <f>IF(AG19&lt;&gt;"OK","LOW","HIGH")</f>
        <v>HIGH</v>
      </c>
      <c r="AQ19" s="4" t="str">
        <f>IF(OR(AN19="P0",AN19="P1",AH19=TRUE),"UPSERT_TICKET",IF(AO19="NEEDS_REVIEW","REVIEW_QUEUE","NO_IMMEDIATE_TICKET"))</f>
        <v>UPSERT_TICKET</v>
      </c>
      <c r="AR19" s="5" t="s">
        <v>253</v>
      </c>
      <c r="AS19" s="5" t="s">
        <v>254</v>
      </c>
    </row>
    <row r="20" spans="1:45">
      <c r="A20" s="2" t="s">
        <v>255</v>
      </c>
      <c r="B20" s="2" t="s">
        <v>48</v>
      </c>
      <c r="C20" s="2" t="s">
        <v>256</v>
      </c>
      <c r="D20" s="2" t="s">
        <v>50</v>
      </c>
      <c r="E20" s="2" t="s">
        <v>257</v>
      </c>
      <c r="F20" s="2" t="s">
        <v>258</v>
      </c>
      <c r="G20" s="2" t="s">
        <v>259</v>
      </c>
      <c r="H20" s="2" t="s">
        <v>260</v>
      </c>
      <c r="I20" s="2" t="s">
        <v>261</v>
      </c>
      <c r="J20" s="2" t="s">
        <v>262</v>
      </c>
      <c r="K20" s="7">
        <v>9.8000000000000007</v>
      </c>
      <c r="L20" s="2" t="s">
        <v>263</v>
      </c>
      <c r="M20" s="8">
        <v>0.97</v>
      </c>
      <c r="N20" s="2" t="s">
        <v>58</v>
      </c>
      <c r="O20" s="8">
        <v>0.999</v>
      </c>
      <c r="P20" s="3" t="b">
        <v>0</v>
      </c>
      <c r="Q20" s="2" t="s">
        <v>58</v>
      </c>
      <c r="R20" s="3" t="b">
        <v>1</v>
      </c>
      <c r="S20" s="2" t="s">
        <v>58</v>
      </c>
      <c r="T20" s="3" t="b">
        <v>1</v>
      </c>
      <c r="U20" s="2" t="s">
        <v>58</v>
      </c>
      <c r="V20" s="2"/>
      <c r="W20" s="2" t="s">
        <v>264</v>
      </c>
      <c r="X20" s="2" t="s">
        <v>59</v>
      </c>
      <c r="Y20" s="2" t="s">
        <v>58</v>
      </c>
      <c r="Z20" s="2" t="s">
        <v>265</v>
      </c>
      <c r="AA20" s="3" t="b">
        <v>0</v>
      </c>
      <c r="AB20" s="2" t="s">
        <v>266</v>
      </c>
      <c r="AC20" s="9">
        <v>46243.447916666664</v>
      </c>
      <c r="AD20" s="2" t="s">
        <v>183</v>
      </c>
      <c r="AE20" s="2" t="s">
        <v>267</v>
      </c>
      <c r="AF20" s="2" t="s">
        <v>64</v>
      </c>
      <c r="AG20" s="4" t="str">
        <f>IF(OR(N20&lt;&gt;"KNOWN",Q20&lt;&gt;"KNOWN",S20&lt;&gt;"KNOWN",U20&lt;&gt;"KNOWN",W20&lt;&gt;"KNOWN",Y20&lt;&gt;"KNOWN"),"NEEDS_REVIEW","OK")</f>
        <v>NEEDS_REVIEW</v>
      </c>
      <c r="AH20" s="4" t="b">
        <f>IF(OR(AND(Q20="KNOWN",P20=TRUE),AA20=TRUE),TRUE,FALSE)</f>
        <v>0</v>
      </c>
      <c r="AI20" s="10">
        <f>IF(AG20&lt;&gt;"OK",0,IF(AH20=TRUE,Policy_Config!$B$11,IF(M20&gt;=Policy_Config!$C$12,Policy_Config!$B$12,IF(M20&gt;=Policy_Config!$C$13,Policy_Config!$B$13,IF(M20&gt;=Policy_Config!$C$14,Policy_Config!$B$14,Policy_Config!$B$15)))))</f>
        <v>0</v>
      </c>
      <c r="AJ20" s="10">
        <f>IF(AG20&lt;&gt;"OK",0,IF(AND(R20=TRUE,V20=TRUE),Policy_Config!$B$17,IF(OR(R20=TRUE,V20=TRUE),Policy_Config!$B$18,Policy_Config!$B$19)))</f>
        <v>0</v>
      </c>
      <c r="AK20" s="10">
        <f>IF(AG20&lt;&gt;"OK",0,IF(T20=FALSE,Policy_Config!$B$21,IF(K20&gt;=Policy_Config!$C$22,Policy_Config!$B$22,IF(K20&gt;=Policy_Config!$C$23,Policy_Config!$B$23,Policy_Config!$B$24))))</f>
        <v>0</v>
      </c>
      <c r="AL20" s="10">
        <f>IF(AG20&lt;&gt;"OK",0,IF(X20="CRITICAL",Policy_Config!$B$26,IF(X20="HIGH",Policy_Config!$B$27,IF(X20="MEDIUM",Policy_Config!$B$28,Policy_Config!$B$29))))</f>
        <v>0</v>
      </c>
      <c r="AM20" s="10" t="str">
        <f>IF(AG20&lt;&gt;"OK","",SUM(AI20:AL20))</f>
        <v/>
      </c>
      <c r="AN20" s="4" t="str">
        <f>IF(AG20&lt;&gt;"OK","REVIEW",IF(AM20&gt;=Policy_Config!$B$5,"P0",IF(AM20&gt;=Policy_Config!$B$6,"P1",IF(AM20&gt;=Policy_Config!$B$7,"P2","P3"))))</f>
        <v>REVIEW</v>
      </c>
      <c r="AO20" s="4" t="str">
        <f>IF(AG20&lt;&gt;"OK","NEEDS_REVIEW","FINAL")</f>
        <v>NEEDS_REVIEW</v>
      </c>
      <c r="AP20" s="4" t="str">
        <f>IF(AG20&lt;&gt;"OK","LOW","HIGH")</f>
        <v>LOW</v>
      </c>
      <c r="AQ20" s="4" t="str">
        <f>IF(OR(AN20="P0",AN20="P1",AH20=TRUE),"UPSERT_TICKET",IF(AO20="NEEDS_REVIEW","REVIEW_QUEUE","NO_IMMEDIATE_TICKET"))</f>
        <v>REVIEW_QUEUE</v>
      </c>
      <c r="AR20" s="5" t="s">
        <v>268</v>
      </c>
      <c r="AS20" s="5" t="s">
        <v>269</v>
      </c>
    </row>
    <row r="21" spans="1:45">
      <c r="A21" s="2" t="s">
        <v>270</v>
      </c>
      <c r="B21" s="2" t="s">
        <v>48</v>
      </c>
      <c r="C21" s="2" t="s">
        <v>271</v>
      </c>
      <c r="D21" s="2" t="s">
        <v>50</v>
      </c>
      <c r="E21" s="2" t="s">
        <v>272</v>
      </c>
      <c r="F21" s="2" t="s">
        <v>273</v>
      </c>
      <c r="G21" s="2" t="s">
        <v>274</v>
      </c>
      <c r="H21" s="2" t="s">
        <v>275</v>
      </c>
      <c r="I21" s="2" t="s">
        <v>276</v>
      </c>
      <c r="J21" s="2" t="s">
        <v>277</v>
      </c>
      <c r="K21" s="7">
        <v>9.8000000000000007</v>
      </c>
      <c r="L21" s="2" t="s">
        <v>278</v>
      </c>
      <c r="M21" s="8">
        <v>0.88</v>
      </c>
      <c r="N21" s="2" t="s">
        <v>58</v>
      </c>
      <c r="O21" s="8">
        <v>0.98899999999999999</v>
      </c>
      <c r="P21" s="3" t="b">
        <v>1</v>
      </c>
      <c r="Q21" s="2" t="s">
        <v>58</v>
      </c>
      <c r="R21" s="3" t="b">
        <v>1</v>
      </c>
      <c r="S21" s="2" t="s">
        <v>58</v>
      </c>
      <c r="T21" s="3" t="b">
        <v>1</v>
      </c>
      <c r="U21" s="2" t="s">
        <v>58</v>
      </c>
      <c r="V21" s="3" t="b">
        <v>1</v>
      </c>
      <c r="W21" s="2" t="s">
        <v>58</v>
      </c>
      <c r="X21" s="2" t="s">
        <v>59</v>
      </c>
      <c r="Y21" s="2" t="s">
        <v>58</v>
      </c>
      <c r="Z21" s="2" t="s">
        <v>279</v>
      </c>
      <c r="AA21" s="3" t="b">
        <v>0</v>
      </c>
      <c r="AB21" s="2" t="s">
        <v>61</v>
      </c>
      <c r="AC21" s="9">
        <v>46243.449305555558</v>
      </c>
      <c r="AD21" s="2" t="s">
        <v>62</v>
      </c>
      <c r="AE21" s="2" t="s">
        <v>280</v>
      </c>
      <c r="AF21" s="2" t="s">
        <v>64</v>
      </c>
      <c r="AG21" s="4" t="str">
        <f>IF(OR(N21&lt;&gt;"KNOWN",Q21&lt;&gt;"KNOWN",S21&lt;&gt;"KNOWN",U21&lt;&gt;"KNOWN",W21&lt;&gt;"KNOWN",Y21&lt;&gt;"KNOWN"),"NEEDS_REVIEW","OK")</f>
        <v>OK</v>
      </c>
      <c r="AH21" s="4" t="b">
        <f>IF(OR(AND(Q21="KNOWN",P21=TRUE),AA21=TRUE),TRUE,FALSE)</f>
        <v>1</v>
      </c>
      <c r="AI21" s="10">
        <f>IF(AG21&lt;&gt;"OK",0,IF(AH21=TRUE,Policy_Config!$B$11,IF(M21&gt;=Policy_Config!$C$12,Policy_Config!$B$12,IF(M21&gt;=Policy_Config!$C$13,Policy_Config!$B$13,IF(M21&gt;=Policy_Config!$C$14,Policy_Config!$B$14,Policy_Config!$B$15)))))</f>
        <v>30</v>
      </c>
      <c r="AJ21" s="10">
        <f>IF(AG21&lt;&gt;"OK",0,IF(AND(R21=TRUE,V21=TRUE),Policy_Config!$B$17,IF(OR(R21=TRUE,V21=TRUE),Policy_Config!$B$18,Policy_Config!$B$19)))</f>
        <v>20</v>
      </c>
      <c r="AK21" s="10">
        <f>IF(AG21&lt;&gt;"OK",0,IF(T21=FALSE,Policy_Config!$B$21,IF(K21&gt;=Policy_Config!$C$22,Policy_Config!$B$22,IF(K21&gt;=Policy_Config!$C$23,Policy_Config!$B$23,Policy_Config!$B$24))))</f>
        <v>20</v>
      </c>
      <c r="AL21" s="10">
        <f>IF(AG21&lt;&gt;"OK",0,IF(X21="CRITICAL",Policy_Config!$B$26,IF(X21="HIGH",Policy_Config!$B$27,IF(X21="MEDIUM",Policy_Config!$B$28,Policy_Config!$B$29))))</f>
        <v>15</v>
      </c>
      <c r="AM21" s="10">
        <f>IF(AG21&lt;&gt;"OK","",SUM(AI21:AL21))</f>
        <v>85</v>
      </c>
      <c r="AN21" s="4" t="str">
        <f>IF(AG21&lt;&gt;"OK","REVIEW",IF(AM21&gt;=Policy_Config!$B$5,"P0",IF(AM21&gt;=Policy_Config!$B$6,"P1",IF(AM21&gt;=Policy_Config!$B$7,"P2","P3"))))</f>
        <v>P0</v>
      </c>
      <c r="AO21" s="4" t="str">
        <f>IF(AG21&lt;&gt;"OK","NEEDS_REVIEW","FINAL")</f>
        <v>FINAL</v>
      </c>
      <c r="AP21" s="4" t="str">
        <f>IF(AG21&lt;&gt;"OK","LOW","HIGH")</f>
        <v>HIGH</v>
      </c>
      <c r="AQ21" s="4" t="str">
        <f>IF(OR(AN21="P0",AN21="P1",AH21=TRUE),"UPSERT_TICKET",IF(AO21="NEEDS_REVIEW","REVIEW_QUEUE","NO_IMMEDIATE_TICKET"))</f>
        <v>UPSERT_TICKET</v>
      </c>
      <c r="AR21" s="5" t="s">
        <v>78</v>
      </c>
      <c r="AS21" s="5" t="s">
        <v>281</v>
      </c>
    </row>
    <row r="22" spans="1:45">
      <c r="A22" s="2" t="s">
        <v>282</v>
      </c>
      <c r="B22" s="2" t="s">
        <v>48</v>
      </c>
      <c r="C22" s="2" t="s">
        <v>283</v>
      </c>
      <c r="D22" s="2" t="s">
        <v>50</v>
      </c>
      <c r="E22" s="2" t="s">
        <v>284</v>
      </c>
      <c r="F22" s="2" t="s">
        <v>285</v>
      </c>
      <c r="G22" s="2" t="s">
        <v>286</v>
      </c>
      <c r="H22" s="2" t="s">
        <v>287</v>
      </c>
      <c r="I22" s="2" t="s">
        <v>288</v>
      </c>
      <c r="J22" s="2" t="s">
        <v>289</v>
      </c>
      <c r="K22" s="7">
        <v>8</v>
      </c>
      <c r="L22" s="2" t="s">
        <v>290</v>
      </c>
      <c r="M22" s="8">
        <v>0.22</v>
      </c>
      <c r="N22" s="2" t="s">
        <v>58</v>
      </c>
      <c r="O22" s="8">
        <v>0.78</v>
      </c>
      <c r="P22" s="3" t="b">
        <v>0</v>
      </c>
      <c r="Q22" s="2" t="s">
        <v>58</v>
      </c>
      <c r="R22" s="3" t="b">
        <v>0</v>
      </c>
      <c r="S22" s="2" t="s">
        <v>58</v>
      </c>
      <c r="T22" s="3" t="b">
        <v>1</v>
      </c>
      <c r="U22" s="2" t="s">
        <v>58</v>
      </c>
      <c r="V22" s="3" t="b">
        <v>0</v>
      </c>
      <c r="W22" s="2" t="s">
        <v>58</v>
      </c>
      <c r="X22" s="2" t="s">
        <v>140</v>
      </c>
      <c r="Y22" s="2" t="s">
        <v>58</v>
      </c>
      <c r="Z22" s="2" t="s">
        <v>291</v>
      </c>
      <c r="AA22" s="3" t="b">
        <v>0</v>
      </c>
      <c r="AB22" s="2" t="s">
        <v>61</v>
      </c>
      <c r="AC22" s="9">
        <v>46243.450694444444</v>
      </c>
      <c r="AD22" s="2" t="s">
        <v>62</v>
      </c>
      <c r="AE22" s="2" t="s">
        <v>292</v>
      </c>
      <c r="AF22" s="2" t="s">
        <v>64</v>
      </c>
      <c r="AG22" s="4" t="str">
        <f>IF(OR(N22&lt;&gt;"KNOWN",Q22&lt;&gt;"KNOWN",S22&lt;&gt;"KNOWN",U22&lt;&gt;"KNOWN",W22&lt;&gt;"KNOWN",Y22&lt;&gt;"KNOWN"),"NEEDS_REVIEW","OK")</f>
        <v>OK</v>
      </c>
      <c r="AH22" s="4" t="b">
        <f>IF(OR(AND(Q22="KNOWN",P22=TRUE),AA22=TRUE),TRUE,FALSE)</f>
        <v>0</v>
      </c>
      <c r="AI22" s="10">
        <f>IF(AG22&lt;&gt;"OK",0,IF(AH22=TRUE,Policy_Config!$B$11,IF(M22&gt;=Policy_Config!$C$12,Policy_Config!$B$12,IF(M22&gt;=Policy_Config!$C$13,Policy_Config!$B$13,IF(M22&gt;=Policy_Config!$C$14,Policy_Config!$B$14,Policy_Config!$B$15)))))</f>
        <v>10</v>
      </c>
      <c r="AJ22" s="10">
        <f>IF(AG22&lt;&gt;"OK",0,IF(AND(R22=TRUE,V22=TRUE),Policy_Config!$B$17,IF(OR(R22=TRUE,V22=TRUE),Policy_Config!$B$18,Policy_Config!$B$19)))</f>
        <v>0</v>
      </c>
      <c r="AK22" s="10">
        <f>IF(AG22&lt;&gt;"OK",0,IF(T22=FALSE,Policy_Config!$B$21,IF(K22&gt;=Policy_Config!$C$22,Policy_Config!$B$22,IF(K22&gt;=Policy_Config!$C$23,Policy_Config!$B$23,Policy_Config!$B$24))))</f>
        <v>15</v>
      </c>
      <c r="AL22" s="10">
        <f>IF(AG22&lt;&gt;"OK",0,IF(X22="CRITICAL",Policy_Config!$B$26,IF(X22="HIGH",Policy_Config!$B$27,IF(X22="MEDIUM",Policy_Config!$B$28,Policy_Config!$B$29))))</f>
        <v>5</v>
      </c>
      <c r="AM22" s="10">
        <f>IF(AG22&lt;&gt;"OK","",SUM(AI22:AL22))</f>
        <v>30</v>
      </c>
      <c r="AN22" s="4" t="str">
        <f>IF(AG22&lt;&gt;"OK","REVIEW",IF(AM22&gt;=Policy_Config!$B$5,"P0",IF(AM22&gt;=Policy_Config!$B$6,"P1",IF(AM22&gt;=Policy_Config!$B$7,"P2","P3"))))</f>
        <v>P3</v>
      </c>
      <c r="AO22" s="4" t="str">
        <f>IF(AG22&lt;&gt;"OK","NEEDS_REVIEW","FINAL")</f>
        <v>FINAL</v>
      </c>
      <c r="AP22" s="4" t="str">
        <f>IF(AG22&lt;&gt;"OK","LOW","HIGH")</f>
        <v>HIGH</v>
      </c>
      <c r="AQ22" s="4" t="str">
        <f>IF(OR(AN22="P0",AN22="P1",AH22=TRUE),"UPSERT_TICKET",IF(AO22="NEEDS_REVIEW","REVIEW_QUEUE","NO_IMMEDIATE_TICKET"))</f>
        <v>NO_IMMEDIATE_TICKET</v>
      </c>
      <c r="AR22" s="5" t="s">
        <v>293</v>
      </c>
      <c r="AS22" s="5" t="s">
        <v>294</v>
      </c>
    </row>
    <row r="23" spans="1:45">
      <c r="A23" s="2" t="s">
        <v>295</v>
      </c>
      <c r="B23" s="2" t="s">
        <v>48</v>
      </c>
      <c r="C23" s="2" t="s">
        <v>296</v>
      </c>
      <c r="D23" s="2" t="s">
        <v>50</v>
      </c>
      <c r="E23" s="2" t="s">
        <v>297</v>
      </c>
      <c r="F23" s="2" t="s">
        <v>298</v>
      </c>
      <c r="G23" s="2" t="s">
        <v>299</v>
      </c>
      <c r="H23" s="2" t="s">
        <v>300</v>
      </c>
      <c r="I23" s="2" t="s">
        <v>301</v>
      </c>
      <c r="J23" s="2" t="s">
        <v>302</v>
      </c>
      <c r="K23" s="7">
        <v>9.8000000000000007</v>
      </c>
      <c r="L23" s="2" t="s">
        <v>303</v>
      </c>
      <c r="M23" s="8">
        <v>0.82</v>
      </c>
      <c r="N23" s="2" t="s">
        <v>58</v>
      </c>
      <c r="O23" s="8">
        <v>0.98399999999999999</v>
      </c>
      <c r="P23" s="3" t="b">
        <v>0</v>
      </c>
      <c r="Q23" s="2" t="s">
        <v>58</v>
      </c>
      <c r="R23" s="3" t="b">
        <v>1</v>
      </c>
      <c r="S23" s="2" t="s">
        <v>58</v>
      </c>
      <c r="T23" s="3" t="b">
        <v>1</v>
      </c>
      <c r="U23" s="2" t="s">
        <v>58</v>
      </c>
      <c r="V23" s="3" t="b">
        <v>1</v>
      </c>
      <c r="W23" s="2" t="s">
        <v>58</v>
      </c>
      <c r="X23" s="2" t="s">
        <v>59</v>
      </c>
      <c r="Y23" s="2" t="s">
        <v>58</v>
      </c>
      <c r="Z23" s="2" t="s">
        <v>304</v>
      </c>
      <c r="AA23" s="3" t="b">
        <v>0</v>
      </c>
      <c r="AB23" s="2" t="s">
        <v>61</v>
      </c>
      <c r="AC23" s="9">
        <v>46243.45208333333</v>
      </c>
      <c r="AD23" s="2" t="s">
        <v>62</v>
      </c>
      <c r="AE23" s="2" t="s">
        <v>305</v>
      </c>
      <c r="AF23" s="2" t="s">
        <v>64</v>
      </c>
      <c r="AG23" s="4" t="str">
        <f>IF(OR(N23&lt;&gt;"KNOWN",Q23&lt;&gt;"KNOWN",S23&lt;&gt;"KNOWN",U23&lt;&gt;"KNOWN",W23&lt;&gt;"KNOWN",Y23&lt;&gt;"KNOWN"),"NEEDS_REVIEW","OK")</f>
        <v>OK</v>
      </c>
      <c r="AH23" s="4" t="b">
        <f>IF(OR(AND(Q23="KNOWN",P23=TRUE),AA23=TRUE),TRUE,FALSE)</f>
        <v>0</v>
      </c>
      <c r="AI23" s="10">
        <f>IF(AG23&lt;&gt;"OK",0,IF(AH23=TRUE,Policy_Config!$B$11,IF(M23&gt;=Policy_Config!$C$12,Policy_Config!$B$12,IF(M23&gt;=Policy_Config!$C$13,Policy_Config!$B$13,IF(M23&gt;=Policy_Config!$C$14,Policy_Config!$B$14,Policy_Config!$B$15)))))</f>
        <v>20</v>
      </c>
      <c r="AJ23" s="10">
        <f>IF(AG23&lt;&gt;"OK",0,IF(AND(R23=TRUE,V23=TRUE),Policy_Config!$B$17,IF(OR(R23=TRUE,V23=TRUE),Policy_Config!$B$18,Policy_Config!$B$19)))</f>
        <v>20</v>
      </c>
      <c r="AK23" s="10">
        <f>IF(AG23&lt;&gt;"OK",0,IF(T23=FALSE,Policy_Config!$B$21,IF(K23&gt;=Policy_Config!$C$22,Policy_Config!$B$22,IF(K23&gt;=Policy_Config!$C$23,Policy_Config!$B$23,Policy_Config!$B$24))))</f>
        <v>20</v>
      </c>
      <c r="AL23" s="10">
        <f>IF(AG23&lt;&gt;"OK",0,IF(X23="CRITICAL",Policy_Config!$B$26,IF(X23="HIGH",Policy_Config!$B$27,IF(X23="MEDIUM",Policy_Config!$B$28,Policy_Config!$B$29))))</f>
        <v>15</v>
      </c>
      <c r="AM23" s="10">
        <f>IF(AG23&lt;&gt;"OK","",SUM(AI23:AL23))</f>
        <v>75</v>
      </c>
      <c r="AN23" s="4" t="str">
        <f>IF(AG23&lt;&gt;"OK","REVIEW",IF(AM23&gt;=Policy_Config!$B$5,"P0",IF(AM23&gt;=Policy_Config!$B$6,"P1",IF(AM23&gt;=Policy_Config!$B$7,"P2","P3"))))</f>
        <v>P1</v>
      </c>
      <c r="AO23" s="4" t="str">
        <f>IF(AG23&lt;&gt;"OK","NEEDS_REVIEW","FINAL")</f>
        <v>FINAL</v>
      </c>
      <c r="AP23" s="4" t="str">
        <f>IF(AG23&lt;&gt;"OK","LOW","HIGH")</f>
        <v>HIGH</v>
      </c>
      <c r="AQ23" s="4" t="str">
        <f>IF(OR(AN23="P0",AN23="P1",AH23=TRUE),"UPSERT_TICKET",IF(AO23="NEEDS_REVIEW","REVIEW_QUEUE","NO_IMMEDIATE_TICKET"))</f>
        <v>UPSERT_TICKET</v>
      </c>
      <c r="AR23" s="5" t="s">
        <v>226</v>
      </c>
      <c r="AS23" s="5" t="s">
        <v>306</v>
      </c>
    </row>
    <row r="24" spans="1:45">
      <c r="A24" s="2" t="s">
        <v>307</v>
      </c>
      <c r="B24" s="2" t="s">
        <v>48</v>
      </c>
      <c r="C24" s="2" t="s">
        <v>308</v>
      </c>
      <c r="D24" s="2" t="s">
        <v>50</v>
      </c>
      <c r="E24" s="2" t="s">
        <v>309</v>
      </c>
      <c r="F24" s="2" t="s">
        <v>310</v>
      </c>
      <c r="G24" s="2" t="s">
        <v>311</v>
      </c>
      <c r="H24" s="2" t="s">
        <v>312</v>
      </c>
      <c r="I24" s="2" t="s">
        <v>313</v>
      </c>
      <c r="J24" s="2" t="s">
        <v>314</v>
      </c>
      <c r="K24" s="7">
        <v>8.6</v>
      </c>
      <c r="L24" s="2" t="s">
        <v>315</v>
      </c>
      <c r="M24" s="8">
        <v>0.59</v>
      </c>
      <c r="N24" s="2" t="s">
        <v>58</v>
      </c>
      <c r="O24" s="8">
        <v>0.95</v>
      </c>
      <c r="P24" s="3" t="b">
        <v>0</v>
      </c>
      <c r="Q24" s="2" t="s">
        <v>58</v>
      </c>
      <c r="R24" s="3" t="b">
        <v>1</v>
      </c>
      <c r="S24" s="2" t="s">
        <v>58</v>
      </c>
      <c r="T24" s="3" t="b">
        <v>1</v>
      </c>
      <c r="U24" s="2" t="s">
        <v>58</v>
      </c>
      <c r="V24" s="3" t="b">
        <v>1</v>
      </c>
      <c r="W24" s="2" t="s">
        <v>58</v>
      </c>
      <c r="X24" s="2" t="s">
        <v>62</v>
      </c>
      <c r="Y24" s="2" t="s">
        <v>264</v>
      </c>
      <c r="Z24" s="2" t="s">
        <v>316</v>
      </c>
      <c r="AA24" s="3" t="b">
        <v>0</v>
      </c>
      <c r="AB24" s="2" t="s">
        <v>317</v>
      </c>
      <c r="AC24" s="9">
        <v>46243.453472222223</v>
      </c>
      <c r="AD24" s="2" t="s">
        <v>183</v>
      </c>
      <c r="AE24" s="2" t="s">
        <v>318</v>
      </c>
      <c r="AF24" s="2" t="s">
        <v>64</v>
      </c>
      <c r="AG24" s="4" t="str">
        <f>IF(OR(N24&lt;&gt;"KNOWN",Q24&lt;&gt;"KNOWN",S24&lt;&gt;"KNOWN",U24&lt;&gt;"KNOWN",W24&lt;&gt;"KNOWN",Y24&lt;&gt;"KNOWN"),"NEEDS_REVIEW","OK")</f>
        <v>NEEDS_REVIEW</v>
      </c>
      <c r="AH24" s="4" t="b">
        <f>IF(OR(AND(Q24="KNOWN",P24=TRUE),AA24=TRUE),TRUE,FALSE)</f>
        <v>0</v>
      </c>
      <c r="AI24" s="10">
        <f>IF(AG24&lt;&gt;"OK",0,IF(AH24=TRUE,Policy_Config!$B$11,IF(M24&gt;=Policy_Config!$C$12,Policy_Config!$B$12,IF(M24&gt;=Policy_Config!$C$13,Policy_Config!$B$13,IF(M24&gt;=Policy_Config!$C$14,Policy_Config!$B$14,Policy_Config!$B$15)))))</f>
        <v>0</v>
      </c>
      <c r="AJ24" s="10">
        <f>IF(AG24&lt;&gt;"OK",0,IF(AND(R24=TRUE,V24=TRUE),Policy_Config!$B$17,IF(OR(R24=TRUE,V24=TRUE),Policy_Config!$B$18,Policy_Config!$B$19)))</f>
        <v>0</v>
      </c>
      <c r="AK24" s="10">
        <f>IF(AG24&lt;&gt;"OK",0,IF(T24=FALSE,Policy_Config!$B$21,IF(K24&gt;=Policy_Config!$C$22,Policy_Config!$B$22,IF(K24&gt;=Policy_Config!$C$23,Policy_Config!$B$23,Policy_Config!$B$24))))</f>
        <v>0</v>
      </c>
      <c r="AL24" s="10">
        <f>IF(AG24&lt;&gt;"OK",0,IF(X24="CRITICAL",Policy_Config!$B$26,IF(X24="HIGH",Policy_Config!$B$27,IF(X24="MEDIUM",Policy_Config!$B$28,Policy_Config!$B$29))))</f>
        <v>0</v>
      </c>
      <c r="AM24" s="10" t="str">
        <f>IF(AG24&lt;&gt;"OK","",SUM(AI24:AL24))</f>
        <v/>
      </c>
      <c r="AN24" s="4" t="str">
        <f>IF(AG24&lt;&gt;"OK","REVIEW",IF(AM24&gt;=Policy_Config!$B$5,"P0",IF(AM24&gt;=Policy_Config!$B$6,"P1",IF(AM24&gt;=Policy_Config!$B$7,"P2","P3"))))</f>
        <v>REVIEW</v>
      </c>
      <c r="AO24" s="4" t="str">
        <f>IF(AG24&lt;&gt;"OK","NEEDS_REVIEW","FINAL")</f>
        <v>NEEDS_REVIEW</v>
      </c>
      <c r="AP24" s="4" t="str">
        <f>IF(AG24&lt;&gt;"OK","LOW","HIGH")</f>
        <v>LOW</v>
      </c>
      <c r="AQ24" s="4" t="str">
        <f>IF(OR(AN24="P0",AN24="P1",AH24=TRUE),"UPSERT_TICKET",IF(AO24="NEEDS_REVIEW","REVIEW_QUEUE","NO_IMMEDIATE_TICKET"))</f>
        <v>REVIEW_QUEUE</v>
      </c>
      <c r="AR24" s="5" t="s">
        <v>319</v>
      </c>
      <c r="AS24" s="5" t="s">
        <v>320</v>
      </c>
    </row>
  </sheetData>
  <mergeCells count="2">
    <mergeCell ref="A1:AS1"/>
    <mergeCell ref="A2:AS2"/>
  </mergeCells>
  <conditionalFormatting sqref="AN5:AN24">
    <cfRule type="containsText" dxfId="6" priority="1" operator="containsText" text="P0"/>
    <cfRule type="containsText" dxfId="5" priority="2" operator="containsText" text="P1"/>
    <cfRule type="containsText" dxfId="4" priority="3" operator="containsText" text="P2"/>
    <cfRule type="containsText" dxfId="3" priority="4" operator="containsText" text="P3"/>
    <cfRule type="containsText" dxfId="2" priority="5" operator="containsText" text="REVIEW"/>
  </conditionalFormatting>
  <conditionalFormatting sqref="AG5:AG24">
    <cfRule type="containsText" dxfId="1" priority="6" operator="containsText" text="NEEDS_REVIEW"/>
  </conditionalFormatting>
  <conditionalFormatting sqref="AH5:AH24">
    <cfRule type="cellIs" dxfId="0" priority="7" operator="equal">
      <formula>TRUE</formula>
    </cfRule>
  </conditionalFormatting>
  <dataValidations count="2">
    <dataValidation type="list" sqref="N5:N24 Y5:Y24 W5:W24 U5:U24 S5:S24 Q5:Q24" xr:uid="{00000000-0002-0000-0000-000000000000}">
      <formula1>"KNOWN,UNKNOWN,STALE,ERROR"</formula1>
    </dataValidation>
    <dataValidation type="list" sqref="X5:X24" xr:uid="{00000000-0002-0000-0000-000006000000}">
      <formula1>"CRITICAL,HIGH,MEDIUM,LOW"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64"/>
  <sheetViews>
    <sheetView showGridLines="0" workbookViewId="0"/>
  </sheetViews>
  <sheetFormatPr defaultRowHeight="15"/>
  <cols>
    <col min="1" max="1" width="12" customWidth="1"/>
    <col min="2" max="2" width="25" customWidth="1"/>
    <col min="3" max="3" width="20" customWidth="1"/>
    <col min="4" max="4" width="26" customWidth="1"/>
    <col min="5" max="6" width="24" customWidth="1"/>
    <col min="7" max="7" width="14" customWidth="1"/>
    <col min="8" max="8" width="24" customWidth="1"/>
    <col min="9" max="10" width="23" customWidth="1"/>
    <col min="11" max="11" width="14" customWidth="1"/>
    <col min="12" max="12" width="44" customWidth="1"/>
  </cols>
  <sheetData>
    <row r="1" spans="1:12" ht="27.95" customHeight="1">
      <c r="A1" s="15" t="s">
        <v>321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33.950000000000003" customHeight="1">
      <c r="A2" s="16" t="s">
        <v>322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4" spans="1:12">
      <c r="A4" s="1" t="s">
        <v>2</v>
      </c>
      <c r="B4" s="1" t="s">
        <v>32</v>
      </c>
      <c r="C4" s="1" t="s">
        <v>4</v>
      </c>
      <c r="D4" s="1" t="s">
        <v>323</v>
      </c>
      <c r="E4" s="1" t="s">
        <v>324</v>
      </c>
      <c r="F4" s="1" t="s">
        <v>325</v>
      </c>
      <c r="G4" s="1" t="s">
        <v>326</v>
      </c>
      <c r="H4" s="1" t="s">
        <v>327</v>
      </c>
      <c r="I4" s="1" t="s">
        <v>328</v>
      </c>
      <c r="J4" s="1" t="s">
        <v>30</v>
      </c>
      <c r="K4" s="1" t="s">
        <v>329</v>
      </c>
      <c r="L4" s="1" t="s">
        <v>330</v>
      </c>
    </row>
    <row r="5" spans="1:12">
      <c r="A5" s="5" t="s">
        <v>47</v>
      </c>
      <c r="B5" s="5" t="s">
        <v>63</v>
      </c>
      <c r="C5" s="5" t="s">
        <v>49</v>
      </c>
      <c r="D5" s="5" t="s">
        <v>331</v>
      </c>
      <c r="E5" s="5">
        <v>10</v>
      </c>
      <c r="F5" s="5" t="s">
        <v>332</v>
      </c>
      <c r="G5" s="5" t="s">
        <v>58</v>
      </c>
      <c r="H5" s="5" t="s">
        <v>333</v>
      </c>
      <c r="I5" s="11">
        <v>46242.25</v>
      </c>
      <c r="J5" s="11">
        <v>46243.427083333336</v>
      </c>
      <c r="K5" s="5" t="s">
        <v>62</v>
      </c>
      <c r="L5" s="5" t="s">
        <v>334</v>
      </c>
    </row>
    <row r="6" spans="1:12">
      <c r="A6" s="5" t="s">
        <v>47</v>
      </c>
      <c r="B6" s="5" t="s">
        <v>63</v>
      </c>
      <c r="C6" s="5" t="s">
        <v>49</v>
      </c>
      <c r="D6" s="5" t="s">
        <v>335</v>
      </c>
      <c r="E6" s="5">
        <v>0.99999000000000005</v>
      </c>
      <c r="F6" s="5" t="s">
        <v>332</v>
      </c>
      <c r="G6" s="5" t="s">
        <v>58</v>
      </c>
      <c r="H6" s="5" t="s">
        <v>336</v>
      </c>
      <c r="I6" s="11">
        <v>46242.25</v>
      </c>
      <c r="J6" s="11">
        <v>46243.427083333336</v>
      </c>
      <c r="K6" s="5" t="s">
        <v>62</v>
      </c>
      <c r="L6" s="5" t="s">
        <v>337</v>
      </c>
    </row>
    <row r="7" spans="1:12">
      <c r="A7" s="5" t="s">
        <v>47</v>
      </c>
      <c r="B7" s="5" t="s">
        <v>63</v>
      </c>
      <c r="C7" s="5" t="s">
        <v>49</v>
      </c>
      <c r="D7" s="5" t="s">
        <v>338</v>
      </c>
      <c r="E7" s="5">
        <v>1</v>
      </c>
      <c r="F7" s="5" t="s">
        <v>332</v>
      </c>
      <c r="G7" s="5" t="s">
        <v>58</v>
      </c>
      <c r="H7" s="5" t="s">
        <v>336</v>
      </c>
      <c r="I7" s="11">
        <v>46242.25</v>
      </c>
      <c r="J7" s="11">
        <v>46243.427083333336</v>
      </c>
      <c r="K7" s="5" t="s">
        <v>62</v>
      </c>
      <c r="L7" s="5" t="s">
        <v>339</v>
      </c>
    </row>
    <row r="8" spans="1:12">
      <c r="A8" s="5" t="s">
        <v>47</v>
      </c>
      <c r="B8" s="5" t="s">
        <v>63</v>
      </c>
      <c r="C8" s="5" t="s">
        <v>49</v>
      </c>
      <c r="D8" s="5" t="s">
        <v>340</v>
      </c>
      <c r="E8" s="6" t="b">
        <v>1</v>
      </c>
      <c r="F8" s="5" t="s">
        <v>341</v>
      </c>
      <c r="G8" s="5" t="s">
        <v>58</v>
      </c>
      <c r="H8" s="5" t="s">
        <v>342</v>
      </c>
      <c r="I8" s="11">
        <v>46242.25</v>
      </c>
      <c r="J8" s="11">
        <v>46243.427083333336</v>
      </c>
      <c r="K8" s="5" t="s">
        <v>62</v>
      </c>
      <c r="L8" s="5" t="s">
        <v>343</v>
      </c>
    </row>
    <row r="9" spans="1:12">
      <c r="A9" s="5" t="s">
        <v>47</v>
      </c>
      <c r="B9" s="5" t="s">
        <v>63</v>
      </c>
      <c r="C9" s="5" t="s">
        <v>49</v>
      </c>
      <c r="D9" s="5" t="s">
        <v>344</v>
      </c>
      <c r="E9" s="6" t="b">
        <v>1</v>
      </c>
      <c r="F9" s="5" t="s">
        <v>341</v>
      </c>
      <c r="G9" s="5" t="s">
        <v>58</v>
      </c>
      <c r="H9" s="5" t="s">
        <v>345</v>
      </c>
      <c r="I9" s="11">
        <v>46242.25</v>
      </c>
      <c r="J9" s="11">
        <v>46243.427083333336</v>
      </c>
      <c r="K9" s="5" t="s">
        <v>62</v>
      </c>
      <c r="L9" s="5" t="s">
        <v>346</v>
      </c>
    </row>
    <row r="10" spans="1:12">
      <c r="A10" s="5" t="s">
        <v>47</v>
      </c>
      <c r="B10" s="5" t="s">
        <v>63</v>
      </c>
      <c r="C10" s="5" t="s">
        <v>49</v>
      </c>
      <c r="D10" s="5" t="s">
        <v>347</v>
      </c>
      <c r="E10" s="6" t="b">
        <v>1</v>
      </c>
      <c r="F10" s="5" t="s">
        <v>341</v>
      </c>
      <c r="G10" s="5" t="s">
        <v>58</v>
      </c>
      <c r="H10" s="5" t="s">
        <v>348</v>
      </c>
      <c r="I10" s="11">
        <v>46242.25</v>
      </c>
      <c r="J10" s="11">
        <v>46243.427083333336</v>
      </c>
      <c r="K10" s="5" t="s">
        <v>62</v>
      </c>
      <c r="L10" s="5" t="s">
        <v>349</v>
      </c>
    </row>
    <row r="11" spans="1:12">
      <c r="A11" s="5" t="s">
        <v>47</v>
      </c>
      <c r="B11" s="5" t="s">
        <v>63</v>
      </c>
      <c r="C11" s="5" t="s">
        <v>49</v>
      </c>
      <c r="D11" s="5" t="s">
        <v>350</v>
      </c>
      <c r="E11" s="6" t="b">
        <v>1</v>
      </c>
      <c r="F11" s="5" t="s">
        <v>341</v>
      </c>
      <c r="G11" s="5" t="s">
        <v>58</v>
      </c>
      <c r="H11" s="5" t="s">
        <v>351</v>
      </c>
      <c r="I11" s="11">
        <v>46242.25</v>
      </c>
      <c r="J11" s="11">
        <v>46243.427083333336</v>
      </c>
      <c r="K11" s="5" t="s">
        <v>62</v>
      </c>
      <c r="L11" s="5" t="s">
        <v>352</v>
      </c>
    </row>
    <row r="12" spans="1:12">
      <c r="A12" s="5" t="s">
        <v>47</v>
      </c>
      <c r="B12" s="5" t="s">
        <v>63</v>
      </c>
      <c r="C12" s="5" t="s">
        <v>49</v>
      </c>
      <c r="D12" s="5" t="s">
        <v>353</v>
      </c>
      <c r="E12" s="5" t="s">
        <v>59</v>
      </c>
      <c r="F12" s="5" t="s">
        <v>354</v>
      </c>
      <c r="G12" s="5" t="s">
        <v>58</v>
      </c>
      <c r="H12" s="5" t="s">
        <v>355</v>
      </c>
      <c r="I12" s="11">
        <v>46242.25</v>
      </c>
      <c r="J12" s="11">
        <v>46243.427083333336</v>
      </c>
      <c r="K12" s="5" t="s">
        <v>62</v>
      </c>
      <c r="L12" s="5" t="s">
        <v>356</v>
      </c>
    </row>
    <row r="13" spans="1:12">
      <c r="A13" s="5" t="s">
        <v>67</v>
      </c>
      <c r="B13" s="5" t="s">
        <v>77</v>
      </c>
      <c r="C13" s="5" t="s">
        <v>68</v>
      </c>
      <c r="D13" s="5" t="s">
        <v>331</v>
      </c>
      <c r="E13" s="5">
        <v>9.1</v>
      </c>
      <c r="F13" s="5" t="s">
        <v>332</v>
      </c>
      <c r="G13" s="5" t="s">
        <v>58</v>
      </c>
      <c r="H13" s="5" t="s">
        <v>333</v>
      </c>
      <c r="I13" s="11">
        <v>46242.25</v>
      </c>
      <c r="J13" s="11">
        <v>46243.428472222222</v>
      </c>
      <c r="K13" s="5" t="s">
        <v>62</v>
      </c>
      <c r="L13" s="5" t="s">
        <v>334</v>
      </c>
    </row>
    <row r="14" spans="1:12">
      <c r="A14" s="5" t="s">
        <v>67</v>
      </c>
      <c r="B14" s="5" t="s">
        <v>77</v>
      </c>
      <c r="C14" s="5" t="s">
        <v>68</v>
      </c>
      <c r="D14" s="5" t="s">
        <v>335</v>
      </c>
      <c r="E14" s="5">
        <v>0.91</v>
      </c>
      <c r="F14" s="5" t="s">
        <v>332</v>
      </c>
      <c r="G14" s="5" t="s">
        <v>58</v>
      </c>
      <c r="H14" s="5" t="s">
        <v>336</v>
      </c>
      <c r="I14" s="11">
        <v>46242.25</v>
      </c>
      <c r="J14" s="11">
        <v>46243.428472222222</v>
      </c>
      <c r="K14" s="5" t="s">
        <v>62</v>
      </c>
      <c r="L14" s="5" t="s">
        <v>337</v>
      </c>
    </row>
    <row r="15" spans="1:12">
      <c r="A15" s="5" t="s">
        <v>67</v>
      </c>
      <c r="B15" s="5" t="s">
        <v>77</v>
      </c>
      <c r="C15" s="5" t="s">
        <v>68</v>
      </c>
      <c r="D15" s="5" t="s">
        <v>338</v>
      </c>
      <c r="E15" s="5">
        <v>0.995</v>
      </c>
      <c r="F15" s="5" t="s">
        <v>332</v>
      </c>
      <c r="G15" s="5" t="s">
        <v>58</v>
      </c>
      <c r="H15" s="5" t="s">
        <v>336</v>
      </c>
      <c r="I15" s="11">
        <v>46242.25</v>
      </c>
      <c r="J15" s="11">
        <v>46243.428472222222</v>
      </c>
      <c r="K15" s="5" t="s">
        <v>62</v>
      </c>
      <c r="L15" s="5" t="s">
        <v>339</v>
      </c>
    </row>
    <row r="16" spans="1:12">
      <c r="A16" s="5" t="s">
        <v>67</v>
      </c>
      <c r="B16" s="5" t="s">
        <v>77</v>
      </c>
      <c r="C16" s="5" t="s">
        <v>68</v>
      </c>
      <c r="D16" s="5" t="s">
        <v>340</v>
      </c>
      <c r="E16" s="6" t="b">
        <v>1</v>
      </c>
      <c r="F16" s="5" t="s">
        <v>341</v>
      </c>
      <c r="G16" s="5" t="s">
        <v>58</v>
      </c>
      <c r="H16" s="5" t="s">
        <v>342</v>
      </c>
      <c r="I16" s="11">
        <v>46242.25</v>
      </c>
      <c r="J16" s="11">
        <v>46243.428472222222</v>
      </c>
      <c r="K16" s="5" t="s">
        <v>62</v>
      </c>
      <c r="L16" s="5" t="s">
        <v>343</v>
      </c>
    </row>
    <row r="17" spans="1:12">
      <c r="A17" s="5" t="s">
        <v>67</v>
      </c>
      <c r="B17" s="5" t="s">
        <v>77</v>
      </c>
      <c r="C17" s="5" t="s">
        <v>68</v>
      </c>
      <c r="D17" s="5" t="s">
        <v>344</v>
      </c>
      <c r="E17" s="6" t="b">
        <v>1</v>
      </c>
      <c r="F17" s="5" t="s">
        <v>341</v>
      </c>
      <c r="G17" s="5" t="s">
        <v>58</v>
      </c>
      <c r="H17" s="5" t="s">
        <v>345</v>
      </c>
      <c r="I17" s="11">
        <v>46242.25</v>
      </c>
      <c r="J17" s="11">
        <v>46243.428472222222</v>
      </c>
      <c r="K17" s="5" t="s">
        <v>62</v>
      </c>
      <c r="L17" s="5" t="s">
        <v>346</v>
      </c>
    </row>
    <row r="18" spans="1:12">
      <c r="A18" s="5" t="s">
        <v>67</v>
      </c>
      <c r="B18" s="5" t="s">
        <v>77</v>
      </c>
      <c r="C18" s="5" t="s">
        <v>68</v>
      </c>
      <c r="D18" s="5" t="s">
        <v>347</v>
      </c>
      <c r="E18" s="6" t="b">
        <v>1</v>
      </c>
      <c r="F18" s="5" t="s">
        <v>341</v>
      </c>
      <c r="G18" s="5" t="s">
        <v>58</v>
      </c>
      <c r="H18" s="5" t="s">
        <v>348</v>
      </c>
      <c r="I18" s="11">
        <v>46242.25</v>
      </c>
      <c r="J18" s="11">
        <v>46243.428472222222</v>
      </c>
      <c r="K18" s="5" t="s">
        <v>62</v>
      </c>
      <c r="L18" s="5" t="s">
        <v>349</v>
      </c>
    </row>
    <row r="19" spans="1:12">
      <c r="A19" s="5" t="s">
        <v>67</v>
      </c>
      <c r="B19" s="5" t="s">
        <v>77</v>
      </c>
      <c r="C19" s="5" t="s">
        <v>68</v>
      </c>
      <c r="D19" s="5" t="s">
        <v>350</v>
      </c>
      <c r="E19" s="6" t="b">
        <v>1</v>
      </c>
      <c r="F19" s="5" t="s">
        <v>341</v>
      </c>
      <c r="G19" s="5" t="s">
        <v>58</v>
      </c>
      <c r="H19" s="5" t="s">
        <v>351</v>
      </c>
      <c r="I19" s="11">
        <v>46242.25</v>
      </c>
      <c r="J19" s="11">
        <v>46243.428472222222</v>
      </c>
      <c r="K19" s="5" t="s">
        <v>62</v>
      </c>
      <c r="L19" s="5" t="s">
        <v>352</v>
      </c>
    </row>
    <row r="20" spans="1:12">
      <c r="A20" s="5" t="s">
        <v>67</v>
      </c>
      <c r="B20" s="5" t="s">
        <v>77</v>
      </c>
      <c r="C20" s="5" t="s">
        <v>68</v>
      </c>
      <c r="D20" s="5" t="s">
        <v>353</v>
      </c>
      <c r="E20" s="5" t="s">
        <v>62</v>
      </c>
      <c r="F20" s="5" t="s">
        <v>354</v>
      </c>
      <c r="G20" s="5" t="s">
        <v>58</v>
      </c>
      <c r="H20" s="5" t="s">
        <v>355</v>
      </c>
      <c r="I20" s="11">
        <v>46242.25</v>
      </c>
      <c r="J20" s="11">
        <v>46243.428472222222</v>
      </c>
      <c r="K20" s="5" t="s">
        <v>62</v>
      </c>
      <c r="L20" s="5" t="s">
        <v>356</v>
      </c>
    </row>
    <row r="21" spans="1:12">
      <c r="A21" s="5" t="s">
        <v>80</v>
      </c>
      <c r="B21" s="5" t="s">
        <v>90</v>
      </c>
      <c r="C21" s="5" t="s">
        <v>81</v>
      </c>
      <c r="D21" s="5" t="s">
        <v>331</v>
      </c>
      <c r="E21" s="5">
        <v>9.8000000000000007</v>
      </c>
      <c r="F21" s="5" t="s">
        <v>332</v>
      </c>
      <c r="G21" s="5" t="s">
        <v>58</v>
      </c>
      <c r="H21" s="5" t="s">
        <v>333</v>
      </c>
      <c r="I21" s="11">
        <v>46242.25</v>
      </c>
      <c r="J21" s="11">
        <v>46243.429861111108</v>
      </c>
      <c r="K21" s="5" t="s">
        <v>62</v>
      </c>
      <c r="L21" s="5" t="s">
        <v>334</v>
      </c>
    </row>
    <row r="22" spans="1:12">
      <c r="A22" s="5" t="s">
        <v>80</v>
      </c>
      <c r="B22" s="5" t="s">
        <v>90</v>
      </c>
      <c r="C22" s="5" t="s">
        <v>81</v>
      </c>
      <c r="D22" s="5" t="s">
        <v>335</v>
      </c>
      <c r="E22" s="5">
        <v>0.87</v>
      </c>
      <c r="F22" s="5" t="s">
        <v>332</v>
      </c>
      <c r="G22" s="5" t="s">
        <v>58</v>
      </c>
      <c r="H22" s="5" t="s">
        <v>336</v>
      </c>
      <c r="I22" s="11">
        <v>46242.25</v>
      </c>
      <c r="J22" s="11">
        <v>46243.429861111108</v>
      </c>
      <c r="K22" s="5" t="s">
        <v>62</v>
      </c>
      <c r="L22" s="5" t="s">
        <v>337</v>
      </c>
    </row>
    <row r="23" spans="1:12">
      <c r="A23" s="5" t="s">
        <v>80</v>
      </c>
      <c r="B23" s="5" t="s">
        <v>90</v>
      </c>
      <c r="C23" s="5" t="s">
        <v>81</v>
      </c>
      <c r="D23" s="5" t="s">
        <v>338</v>
      </c>
      <c r="E23" s="5">
        <v>0.98499999999999999</v>
      </c>
      <c r="F23" s="5" t="s">
        <v>332</v>
      </c>
      <c r="G23" s="5" t="s">
        <v>58</v>
      </c>
      <c r="H23" s="5" t="s">
        <v>336</v>
      </c>
      <c r="I23" s="11">
        <v>46242.25</v>
      </c>
      <c r="J23" s="11">
        <v>46243.429861111108</v>
      </c>
      <c r="K23" s="5" t="s">
        <v>62</v>
      </c>
      <c r="L23" s="5" t="s">
        <v>339</v>
      </c>
    </row>
    <row r="24" spans="1:12">
      <c r="A24" s="5" t="s">
        <v>80</v>
      </c>
      <c r="B24" s="5" t="s">
        <v>90</v>
      </c>
      <c r="C24" s="5" t="s">
        <v>81</v>
      </c>
      <c r="D24" s="5" t="s">
        <v>340</v>
      </c>
      <c r="E24" s="6" t="b">
        <v>0</v>
      </c>
      <c r="F24" s="5" t="s">
        <v>341</v>
      </c>
      <c r="G24" s="5" t="s">
        <v>58</v>
      </c>
      <c r="H24" s="5" t="s">
        <v>342</v>
      </c>
      <c r="I24" s="11">
        <v>46242.25</v>
      </c>
      <c r="J24" s="11">
        <v>46243.429861111108</v>
      </c>
      <c r="K24" s="5" t="s">
        <v>62</v>
      </c>
      <c r="L24" s="5" t="s">
        <v>343</v>
      </c>
    </row>
    <row r="25" spans="1:12">
      <c r="A25" s="5" t="s">
        <v>80</v>
      </c>
      <c r="B25" s="5" t="s">
        <v>90</v>
      </c>
      <c r="C25" s="5" t="s">
        <v>81</v>
      </c>
      <c r="D25" s="5" t="s">
        <v>344</v>
      </c>
      <c r="E25" s="6" t="b">
        <v>0</v>
      </c>
      <c r="F25" s="5" t="s">
        <v>341</v>
      </c>
      <c r="G25" s="5" t="s">
        <v>58</v>
      </c>
      <c r="H25" s="5" t="s">
        <v>345</v>
      </c>
      <c r="I25" s="11">
        <v>46242.25</v>
      </c>
      <c r="J25" s="11">
        <v>46243.429861111108</v>
      </c>
      <c r="K25" s="5" t="s">
        <v>62</v>
      </c>
      <c r="L25" s="5" t="s">
        <v>346</v>
      </c>
    </row>
    <row r="26" spans="1:12">
      <c r="A26" s="5" t="s">
        <v>80</v>
      </c>
      <c r="B26" s="5" t="s">
        <v>90</v>
      </c>
      <c r="C26" s="5" t="s">
        <v>81</v>
      </c>
      <c r="D26" s="5" t="s">
        <v>347</v>
      </c>
      <c r="E26" s="6" t="b">
        <v>1</v>
      </c>
      <c r="F26" s="5" t="s">
        <v>341</v>
      </c>
      <c r="G26" s="5" t="s">
        <v>58</v>
      </c>
      <c r="H26" s="5" t="s">
        <v>348</v>
      </c>
      <c r="I26" s="11">
        <v>46242.25</v>
      </c>
      <c r="J26" s="11">
        <v>46243.429861111108</v>
      </c>
      <c r="K26" s="5" t="s">
        <v>62</v>
      </c>
      <c r="L26" s="5" t="s">
        <v>349</v>
      </c>
    </row>
    <row r="27" spans="1:12">
      <c r="A27" s="5" t="s">
        <v>80</v>
      </c>
      <c r="B27" s="5" t="s">
        <v>90</v>
      </c>
      <c r="C27" s="5" t="s">
        <v>81</v>
      </c>
      <c r="D27" s="5" t="s">
        <v>350</v>
      </c>
      <c r="E27" s="6" t="b">
        <v>1</v>
      </c>
      <c r="F27" s="5" t="s">
        <v>341</v>
      </c>
      <c r="G27" s="5" t="s">
        <v>58</v>
      </c>
      <c r="H27" s="5" t="s">
        <v>351</v>
      </c>
      <c r="I27" s="11">
        <v>46242.25</v>
      </c>
      <c r="J27" s="11">
        <v>46243.429861111108</v>
      </c>
      <c r="K27" s="5" t="s">
        <v>62</v>
      </c>
      <c r="L27" s="5" t="s">
        <v>352</v>
      </c>
    </row>
    <row r="28" spans="1:12">
      <c r="A28" s="5" t="s">
        <v>80</v>
      </c>
      <c r="B28" s="5" t="s">
        <v>90</v>
      </c>
      <c r="C28" s="5" t="s">
        <v>81</v>
      </c>
      <c r="D28" s="5" t="s">
        <v>353</v>
      </c>
      <c r="E28" s="5" t="s">
        <v>59</v>
      </c>
      <c r="F28" s="5" t="s">
        <v>354</v>
      </c>
      <c r="G28" s="5" t="s">
        <v>58</v>
      </c>
      <c r="H28" s="5" t="s">
        <v>355</v>
      </c>
      <c r="I28" s="11">
        <v>46242.25</v>
      </c>
      <c r="J28" s="11">
        <v>46243.429861111108</v>
      </c>
      <c r="K28" s="5" t="s">
        <v>62</v>
      </c>
      <c r="L28" s="5" t="s">
        <v>356</v>
      </c>
    </row>
    <row r="29" spans="1:12">
      <c r="A29" s="5" t="s">
        <v>93</v>
      </c>
      <c r="B29" s="5" t="s">
        <v>103</v>
      </c>
      <c r="C29" s="5" t="s">
        <v>94</v>
      </c>
      <c r="D29" s="5" t="s">
        <v>331</v>
      </c>
      <c r="E29" s="5">
        <v>8.8000000000000007</v>
      </c>
      <c r="F29" s="5" t="s">
        <v>332</v>
      </c>
      <c r="G29" s="5" t="s">
        <v>58</v>
      </c>
      <c r="H29" s="5" t="s">
        <v>333</v>
      </c>
      <c r="I29" s="11">
        <v>46242.25</v>
      </c>
      <c r="J29" s="11">
        <v>46243.431250000001</v>
      </c>
      <c r="K29" s="5" t="s">
        <v>62</v>
      </c>
      <c r="L29" s="5" t="s">
        <v>334</v>
      </c>
    </row>
    <row r="30" spans="1:12">
      <c r="A30" s="5" t="s">
        <v>93</v>
      </c>
      <c r="B30" s="5" t="s">
        <v>103</v>
      </c>
      <c r="C30" s="5" t="s">
        <v>94</v>
      </c>
      <c r="D30" s="5" t="s">
        <v>335</v>
      </c>
      <c r="E30" s="5">
        <v>0.65</v>
      </c>
      <c r="F30" s="5" t="s">
        <v>332</v>
      </c>
      <c r="G30" s="5" t="s">
        <v>58</v>
      </c>
      <c r="H30" s="5" t="s">
        <v>336</v>
      </c>
      <c r="I30" s="11">
        <v>46242.25</v>
      </c>
      <c r="J30" s="11">
        <v>46243.431250000001</v>
      </c>
      <c r="K30" s="5" t="s">
        <v>62</v>
      </c>
      <c r="L30" s="5" t="s">
        <v>337</v>
      </c>
    </row>
    <row r="31" spans="1:12">
      <c r="A31" s="5" t="s">
        <v>93</v>
      </c>
      <c r="B31" s="5" t="s">
        <v>103</v>
      </c>
      <c r="C31" s="5" t="s">
        <v>94</v>
      </c>
      <c r="D31" s="5" t="s">
        <v>338</v>
      </c>
      <c r="E31" s="5">
        <v>0.96499999999999997</v>
      </c>
      <c r="F31" s="5" t="s">
        <v>332</v>
      </c>
      <c r="G31" s="5" t="s">
        <v>58</v>
      </c>
      <c r="H31" s="5" t="s">
        <v>336</v>
      </c>
      <c r="I31" s="11">
        <v>46242.25</v>
      </c>
      <c r="J31" s="11">
        <v>46243.431250000001</v>
      </c>
      <c r="K31" s="5" t="s">
        <v>62</v>
      </c>
      <c r="L31" s="5" t="s">
        <v>339</v>
      </c>
    </row>
    <row r="32" spans="1:12">
      <c r="A32" s="5" t="s">
        <v>93</v>
      </c>
      <c r="B32" s="5" t="s">
        <v>103</v>
      </c>
      <c r="C32" s="5" t="s">
        <v>94</v>
      </c>
      <c r="D32" s="5" t="s">
        <v>340</v>
      </c>
      <c r="E32" s="6" t="b">
        <v>0</v>
      </c>
      <c r="F32" s="5" t="s">
        <v>341</v>
      </c>
      <c r="G32" s="5" t="s">
        <v>58</v>
      </c>
      <c r="H32" s="5" t="s">
        <v>342</v>
      </c>
      <c r="I32" s="11">
        <v>46242.25</v>
      </c>
      <c r="J32" s="11">
        <v>46243.431250000001</v>
      </c>
      <c r="K32" s="5" t="s">
        <v>62</v>
      </c>
      <c r="L32" s="5" t="s">
        <v>343</v>
      </c>
    </row>
    <row r="33" spans="1:12">
      <c r="A33" s="5" t="s">
        <v>93</v>
      </c>
      <c r="B33" s="5" t="s">
        <v>103</v>
      </c>
      <c r="C33" s="5" t="s">
        <v>94</v>
      </c>
      <c r="D33" s="5" t="s">
        <v>344</v>
      </c>
      <c r="E33" s="6" t="b">
        <v>1</v>
      </c>
      <c r="F33" s="5" t="s">
        <v>341</v>
      </c>
      <c r="G33" s="5" t="s">
        <v>58</v>
      </c>
      <c r="H33" s="5" t="s">
        <v>345</v>
      </c>
      <c r="I33" s="11">
        <v>46242.25</v>
      </c>
      <c r="J33" s="11">
        <v>46243.431250000001</v>
      </c>
      <c r="K33" s="5" t="s">
        <v>62</v>
      </c>
      <c r="L33" s="5" t="s">
        <v>346</v>
      </c>
    </row>
    <row r="34" spans="1:12">
      <c r="A34" s="5" t="s">
        <v>93</v>
      </c>
      <c r="B34" s="5" t="s">
        <v>103</v>
      </c>
      <c r="C34" s="5" t="s">
        <v>94</v>
      </c>
      <c r="D34" s="5" t="s">
        <v>347</v>
      </c>
      <c r="E34" s="6" t="b">
        <v>1</v>
      </c>
      <c r="F34" s="5" t="s">
        <v>341</v>
      </c>
      <c r="G34" s="5" t="s">
        <v>58</v>
      </c>
      <c r="H34" s="5" t="s">
        <v>348</v>
      </c>
      <c r="I34" s="11">
        <v>46242.25</v>
      </c>
      <c r="J34" s="11">
        <v>46243.431250000001</v>
      </c>
      <c r="K34" s="5" t="s">
        <v>62</v>
      </c>
      <c r="L34" s="5" t="s">
        <v>349</v>
      </c>
    </row>
    <row r="35" spans="1:12">
      <c r="A35" s="5" t="s">
        <v>93</v>
      </c>
      <c r="B35" s="5" t="s">
        <v>103</v>
      </c>
      <c r="C35" s="5" t="s">
        <v>94</v>
      </c>
      <c r="D35" s="5" t="s">
        <v>350</v>
      </c>
      <c r="E35" s="6" t="b">
        <v>1</v>
      </c>
      <c r="F35" s="5" t="s">
        <v>341</v>
      </c>
      <c r="G35" s="5" t="s">
        <v>58</v>
      </c>
      <c r="H35" s="5" t="s">
        <v>351</v>
      </c>
      <c r="I35" s="11">
        <v>46242.25</v>
      </c>
      <c r="J35" s="11">
        <v>46243.431250000001</v>
      </c>
      <c r="K35" s="5" t="s">
        <v>62</v>
      </c>
      <c r="L35" s="5" t="s">
        <v>352</v>
      </c>
    </row>
    <row r="36" spans="1:12">
      <c r="A36" s="5" t="s">
        <v>93</v>
      </c>
      <c r="B36" s="5" t="s">
        <v>103</v>
      </c>
      <c r="C36" s="5" t="s">
        <v>94</v>
      </c>
      <c r="D36" s="5" t="s">
        <v>353</v>
      </c>
      <c r="E36" s="5" t="s">
        <v>62</v>
      </c>
      <c r="F36" s="5" t="s">
        <v>354</v>
      </c>
      <c r="G36" s="5" t="s">
        <v>58</v>
      </c>
      <c r="H36" s="5" t="s">
        <v>355</v>
      </c>
      <c r="I36" s="11">
        <v>46242.25</v>
      </c>
      <c r="J36" s="11">
        <v>46243.431250000001</v>
      </c>
      <c r="K36" s="5" t="s">
        <v>62</v>
      </c>
      <c r="L36" s="5" t="s">
        <v>356</v>
      </c>
    </row>
    <row r="37" spans="1:12">
      <c r="A37" s="5" t="s">
        <v>106</v>
      </c>
      <c r="B37" s="5" t="s">
        <v>116</v>
      </c>
      <c r="C37" s="5" t="s">
        <v>107</v>
      </c>
      <c r="D37" s="5" t="s">
        <v>331</v>
      </c>
      <c r="E37" s="5">
        <v>9.8000000000000007</v>
      </c>
      <c r="F37" s="5" t="s">
        <v>332</v>
      </c>
      <c r="G37" s="5" t="s">
        <v>58</v>
      </c>
      <c r="H37" s="5" t="s">
        <v>333</v>
      </c>
      <c r="I37" s="11">
        <v>46242.25</v>
      </c>
      <c r="J37" s="11">
        <v>46243.432638888888</v>
      </c>
      <c r="K37" s="5" t="s">
        <v>62</v>
      </c>
      <c r="L37" s="5" t="s">
        <v>334</v>
      </c>
    </row>
    <row r="38" spans="1:12">
      <c r="A38" s="5" t="s">
        <v>106</v>
      </c>
      <c r="B38" s="5" t="s">
        <v>116</v>
      </c>
      <c r="C38" s="5" t="s">
        <v>107</v>
      </c>
      <c r="D38" s="5" t="s">
        <v>335</v>
      </c>
      <c r="E38" s="5">
        <v>0.76</v>
      </c>
      <c r="F38" s="5" t="s">
        <v>332</v>
      </c>
      <c r="G38" s="5" t="s">
        <v>58</v>
      </c>
      <c r="H38" s="5" t="s">
        <v>336</v>
      </c>
      <c r="I38" s="11">
        <v>46242.25</v>
      </c>
      <c r="J38" s="11">
        <v>46243.432638888888</v>
      </c>
      <c r="K38" s="5" t="s">
        <v>62</v>
      </c>
      <c r="L38" s="5" t="s">
        <v>337</v>
      </c>
    </row>
    <row r="39" spans="1:12">
      <c r="A39" s="5" t="s">
        <v>106</v>
      </c>
      <c r="B39" s="5" t="s">
        <v>116</v>
      </c>
      <c r="C39" s="5" t="s">
        <v>107</v>
      </c>
      <c r="D39" s="5" t="s">
        <v>338</v>
      </c>
      <c r="E39" s="5">
        <v>0.97799999999999998</v>
      </c>
      <c r="F39" s="5" t="s">
        <v>332</v>
      </c>
      <c r="G39" s="5" t="s">
        <v>58</v>
      </c>
      <c r="H39" s="5" t="s">
        <v>336</v>
      </c>
      <c r="I39" s="11">
        <v>46242.25</v>
      </c>
      <c r="J39" s="11">
        <v>46243.432638888888</v>
      </c>
      <c r="K39" s="5" t="s">
        <v>62</v>
      </c>
      <c r="L39" s="5" t="s">
        <v>339</v>
      </c>
    </row>
    <row r="40" spans="1:12">
      <c r="A40" s="5" t="s">
        <v>106</v>
      </c>
      <c r="B40" s="5" t="s">
        <v>116</v>
      </c>
      <c r="C40" s="5" t="s">
        <v>107</v>
      </c>
      <c r="D40" s="5" t="s">
        <v>340</v>
      </c>
      <c r="E40" s="6" t="b">
        <v>1</v>
      </c>
      <c r="F40" s="5" t="s">
        <v>341</v>
      </c>
      <c r="G40" s="5" t="s">
        <v>58</v>
      </c>
      <c r="H40" s="5" t="s">
        <v>342</v>
      </c>
      <c r="I40" s="11">
        <v>46242.25</v>
      </c>
      <c r="J40" s="11">
        <v>46243.432638888888</v>
      </c>
      <c r="K40" s="5" t="s">
        <v>62</v>
      </c>
      <c r="L40" s="5" t="s">
        <v>343</v>
      </c>
    </row>
    <row r="41" spans="1:12">
      <c r="A41" s="5" t="s">
        <v>106</v>
      </c>
      <c r="B41" s="5" t="s">
        <v>116</v>
      </c>
      <c r="C41" s="5" t="s">
        <v>107</v>
      </c>
      <c r="D41" s="5" t="s">
        <v>344</v>
      </c>
      <c r="E41" s="6" t="b">
        <v>1</v>
      </c>
      <c r="F41" s="5" t="s">
        <v>341</v>
      </c>
      <c r="G41" s="5" t="s">
        <v>58</v>
      </c>
      <c r="H41" s="5" t="s">
        <v>345</v>
      </c>
      <c r="I41" s="11">
        <v>46242.25</v>
      </c>
      <c r="J41" s="11">
        <v>46243.432638888888</v>
      </c>
      <c r="K41" s="5" t="s">
        <v>62</v>
      </c>
      <c r="L41" s="5" t="s">
        <v>346</v>
      </c>
    </row>
    <row r="42" spans="1:12">
      <c r="A42" s="5" t="s">
        <v>106</v>
      </c>
      <c r="B42" s="5" t="s">
        <v>116</v>
      </c>
      <c r="C42" s="5" t="s">
        <v>107</v>
      </c>
      <c r="D42" s="5" t="s">
        <v>347</v>
      </c>
      <c r="E42" s="6" t="b">
        <v>1</v>
      </c>
      <c r="F42" s="5" t="s">
        <v>341</v>
      </c>
      <c r="G42" s="5" t="s">
        <v>58</v>
      </c>
      <c r="H42" s="5" t="s">
        <v>348</v>
      </c>
      <c r="I42" s="11">
        <v>46242.25</v>
      </c>
      <c r="J42" s="11">
        <v>46243.432638888888</v>
      </c>
      <c r="K42" s="5" t="s">
        <v>62</v>
      </c>
      <c r="L42" s="5" t="s">
        <v>349</v>
      </c>
    </row>
    <row r="43" spans="1:12">
      <c r="A43" s="5" t="s">
        <v>106</v>
      </c>
      <c r="B43" s="5" t="s">
        <v>116</v>
      </c>
      <c r="C43" s="5" t="s">
        <v>107</v>
      </c>
      <c r="D43" s="5" t="s">
        <v>350</v>
      </c>
      <c r="E43" s="6" t="b">
        <v>1</v>
      </c>
      <c r="F43" s="5" t="s">
        <v>341</v>
      </c>
      <c r="G43" s="5" t="s">
        <v>58</v>
      </c>
      <c r="H43" s="5" t="s">
        <v>351</v>
      </c>
      <c r="I43" s="11">
        <v>46242.25</v>
      </c>
      <c r="J43" s="11">
        <v>46243.432638888888</v>
      </c>
      <c r="K43" s="5" t="s">
        <v>62</v>
      </c>
      <c r="L43" s="5" t="s">
        <v>352</v>
      </c>
    </row>
    <row r="44" spans="1:12">
      <c r="A44" s="5" t="s">
        <v>106</v>
      </c>
      <c r="B44" s="5" t="s">
        <v>116</v>
      </c>
      <c r="C44" s="5" t="s">
        <v>107</v>
      </c>
      <c r="D44" s="5" t="s">
        <v>353</v>
      </c>
      <c r="E44" s="5" t="s">
        <v>59</v>
      </c>
      <c r="F44" s="5" t="s">
        <v>354</v>
      </c>
      <c r="G44" s="5" t="s">
        <v>58</v>
      </c>
      <c r="H44" s="5" t="s">
        <v>355</v>
      </c>
      <c r="I44" s="11">
        <v>46242.25</v>
      </c>
      <c r="J44" s="11">
        <v>46243.432638888888</v>
      </c>
      <c r="K44" s="5" t="s">
        <v>62</v>
      </c>
      <c r="L44" s="5" t="s">
        <v>356</v>
      </c>
    </row>
    <row r="45" spans="1:12">
      <c r="A45" s="5" t="s">
        <v>118</v>
      </c>
      <c r="B45" s="5" t="s">
        <v>128</v>
      </c>
      <c r="C45" s="5" t="s">
        <v>119</v>
      </c>
      <c r="D45" s="5" t="s">
        <v>331</v>
      </c>
      <c r="E45" s="5">
        <v>7.5</v>
      </c>
      <c r="F45" s="5" t="s">
        <v>332</v>
      </c>
      <c r="G45" s="5" t="s">
        <v>58</v>
      </c>
      <c r="H45" s="5" t="s">
        <v>333</v>
      </c>
      <c r="I45" s="11">
        <v>46242.25</v>
      </c>
      <c r="J45" s="11">
        <v>46243.434027777781</v>
      </c>
      <c r="K45" s="5" t="s">
        <v>62</v>
      </c>
      <c r="L45" s="5" t="s">
        <v>334</v>
      </c>
    </row>
    <row r="46" spans="1:12">
      <c r="A46" s="5" t="s">
        <v>118</v>
      </c>
      <c r="B46" s="5" t="s">
        <v>128</v>
      </c>
      <c r="C46" s="5" t="s">
        <v>119</v>
      </c>
      <c r="D46" s="5" t="s">
        <v>335</v>
      </c>
      <c r="E46" s="5">
        <v>0.31</v>
      </c>
      <c r="F46" s="5" t="s">
        <v>332</v>
      </c>
      <c r="G46" s="5" t="s">
        <v>58</v>
      </c>
      <c r="H46" s="5" t="s">
        <v>336</v>
      </c>
      <c r="I46" s="11">
        <v>46242.25</v>
      </c>
      <c r="J46" s="11">
        <v>46243.434027777781</v>
      </c>
      <c r="K46" s="5" t="s">
        <v>62</v>
      </c>
      <c r="L46" s="5" t="s">
        <v>337</v>
      </c>
    </row>
    <row r="47" spans="1:12">
      <c r="A47" s="5" t="s">
        <v>118</v>
      </c>
      <c r="B47" s="5" t="s">
        <v>128</v>
      </c>
      <c r="C47" s="5" t="s">
        <v>119</v>
      </c>
      <c r="D47" s="5" t="s">
        <v>338</v>
      </c>
      <c r="E47" s="5">
        <v>0.89</v>
      </c>
      <c r="F47" s="5" t="s">
        <v>332</v>
      </c>
      <c r="G47" s="5" t="s">
        <v>58</v>
      </c>
      <c r="H47" s="5" t="s">
        <v>336</v>
      </c>
      <c r="I47" s="11">
        <v>46242.25</v>
      </c>
      <c r="J47" s="11">
        <v>46243.434027777781</v>
      </c>
      <c r="K47" s="5" t="s">
        <v>62</v>
      </c>
      <c r="L47" s="5" t="s">
        <v>339</v>
      </c>
    </row>
    <row r="48" spans="1:12">
      <c r="A48" s="5" t="s">
        <v>118</v>
      </c>
      <c r="B48" s="5" t="s">
        <v>128</v>
      </c>
      <c r="C48" s="5" t="s">
        <v>119</v>
      </c>
      <c r="D48" s="5" t="s">
        <v>340</v>
      </c>
      <c r="E48" s="6" t="b">
        <v>0</v>
      </c>
      <c r="F48" s="5" t="s">
        <v>341</v>
      </c>
      <c r="G48" s="5" t="s">
        <v>58</v>
      </c>
      <c r="H48" s="5" t="s">
        <v>342</v>
      </c>
      <c r="I48" s="11">
        <v>46242.25</v>
      </c>
      <c r="J48" s="11">
        <v>46243.434027777781</v>
      </c>
      <c r="K48" s="5" t="s">
        <v>62</v>
      </c>
      <c r="L48" s="5" t="s">
        <v>343</v>
      </c>
    </row>
    <row r="49" spans="1:12">
      <c r="A49" s="5" t="s">
        <v>118</v>
      </c>
      <c r="B49" s="5" t="s">
        <v>128</v>
      </c>
      <c r="C49" s="5" t="s">
        <v>119</v>
      </c>
      <c r="D49" s="5" t="s">
        <v>344</v>
      </c>
      <c r="E49" s="6" t="b">
        <v>0</v>
      </c>
      <c r="F49" s="5" t="s">
        <v>341</v>
      </c>
      <c r="G49" s="5" t="s">
        <v>58</v>
      </c>
      <c r="H49" s="5" t="s">
        <v>345</v>
      </c>
      <c r="I49" s="11">
        <v>46242.25</v>
      </c>
      <c r="J49" s="11">
        <v>46243.434027777781</v>
      </c>
      <c r="K49" s="5" t="s">
        <v>62</v>
      </c>
      <c r="L49" s="5" t="s">
        <v>346</v>
      </c>
    </row>
    <row r="50" spans="1:12">
      <c r="A50" s="5" t="s">
        <v>118</v>
      </c>
      <c r="B50" s="5" t="s">
        <v>128</v>
      </c>
      <c r="C50" s="5" t="s">
        <v>119</v>
      </c>
      <c r="D50" s="5" t="s">
        <v>347</v>
      </c>
      <c r="E50" s="6" t="b">
        <v>1</v>
      </c>
      <c r="F50" s="5" t="s">
        <v>341</v>
      </c>
      <c r="G50" s="5" t="s">
        <v>58</v>
      </c>
      <c r="H50" s="5" t="s">
        <v>348</v>
      </c>
      <c r="I50" s="11">
        <v>46242.25</v>
      </c>
      <c r="J50" s="11">
        <v>46243.434027777781</v>
      </c>
      <c r="K50" s="5" t="s">
        <v>62</v>
      </c>
      <c r="L50" s="5" t="s">
        <v>349</v>
      </c>
    </row>
    <row r="51" spans="1:12">
      <c r="A51" s="5" t="s">
        <v>118</v>
      </c>
      <c r="B51" s="5" t="s">
        <v>128</v>
      </c>
      <c r="C51" s="5" t="s">
        <v>119</v>
      </c>
      <c r="D51" s="5" t="s">
        <v>350</v>
      </c>
      <c r="E51" s="6" t="b">
        <v>0</v>
      </c>
      <c r="F51" s="5" t="s">
        <v>341</v>
      </c>
      <c r="G51" s="5" t="s">
        <v>58</v>
      </c>
      <c r="H51" s="5" t="s">
        <v>351</v>
      </c>
      <c r="I51" s="11">
        <v>46242.25</v>
      </c>
      <c r="J51" s="11">
        <v>46243.434027777781</v>
      </c>
      <c r="K51" s="5" t="s">
        <v>62</v>
      </c>
      <c r="L51" s="5" t="s">
        <v>352</v>
      </c>
    </row>
    <row r="52" spans="1:12">
      <c r="A52" s="5" t="s">
        <v>118</v>
      </c>
      <c r="B52" s="5" t="s">
        <v>128</v>
      </c>
      <c r="C52" s="5" t="s">
        <v>119</v>
      </c>
      <c r="D52" s="5" t="s">
        <v>353</v>
      </c>
      <c r="E52" s="5" t="s">
        <v>62</v>
      </c>
      <c r="F52" s="5" t="s">
        <v>354</v>
      </c>
      <c r="G52" s="5" t="s">
        <v>58</v>
      </c>
      <c r="H52" s="5" t="s">
        <v>355</v>
      </c>
      <c r="I52" s="11">
        <v>46242.25</v>
      </c>
      <c r="J52" s="11">
        <v>46243.434027777781</v>
      </c>
      <c r="K52" s="5" t="s">
        <v>62</v>
      </c>
      <c r="L52" s="5" t="s">
        <v>356</v>
      </c>
    </row>
    <row r="53" spans="1:12">
      <c r="A53" s="5" t="s">
        <v>131</v>
      </c>
      <c r="B53" s="5" t="s">
        <v>142</v>
      </c>
      <c r="C53" s="5" t="s">
        <v>132</v>
      </c>
      <c r="D53" s="5" t="s">
        <v>331</v>
      </c>
      <c r="E53" s="5">
        <v>8</v>
      </c>
      <c r="F53" s="5" t="s">
        <v>332</v>
      </c>
      <c r="G53" s="5" t="s">
        <v>58</v>
      </c>
      <c r="H53" s="5" t="s">
        <v>333</v>
      </c>
      <c r="I53" s="11">
        <v>46242.25</v>
      </c>
      <c r="J53" s="11">
        <v>46243.435416666667</v>
      </c>
      <c r="K53" s="5" t="s">
        <v>62</v>
      </c>
      <c r="L53" s="5" t="s">
        <v>334</v>
      </c>
    </row>
    <row r="54" spans="1:12">
      <c r="A54" s="5" t="s">
        <v>131</v>
      </c>
      <c r="B54" s="5" t="s">
        <v>142</v>
      </c>
      <c r="C54" s="5" t="s">
        <v>132</v>
      </c>
      <c r="D54" s="5" t="s">
        <v>335</v>
      </c>
      <c r="E54" s="5">
        <v>0.22</v>
      </c>
      <c r="F54" s="5" t="s">
        <v>332</v>
      </c>
      <c r="G54" s="5" t="s">
        <v>58</v>
      </c>
      <c r="H54" s="5" t="s">
        <v>336</v>
      </c>
      <c r="I54" s="11">
        <v>46242.25</v>
      </c>
      <c r="J54" s="11">
        <v>46243.435416666667</v>
      </c>
      <c r="K54" s="5" t="s">
        <v>62</v>
      </c>
      <c r="L54" s="5" t="s">
        <v>337</v>
      </c>
    </row>
    <row r="55" spans="1:12">
      <c r="A55" s="5" t="s">
        <v>131</v>
      </c>
      <c r="B55" s="5" t="s">
        <v>142</v>
      </c>
      <c r="C55" s="5" t="s">
        <v>132</v>
      </c>
      <c r="D55" s="5" t="s">
        <v>338</v>
      </c>
      <c r="E55" s="5">
        <v>0.78</v>
      </c>
      <c r="F55" s="5" t="s">
        <v>332</v>
      </c>
      <c r="G55" s="5" t="s">
        <v>58</v>
      </c>
      <c r="H55" s="5" t="s">
        <v>336</v>
      </c>
      <c r="I55" s="11">
        <v>46242.25</v>
      </c>
      <c r="J55" s="11">
        <v>46243.435416666667</v>
      </c>
      <c r="K55" s="5" t="s">
        <v>62</v>
      </c>
      <c r="L55" s="5" t="s">
        <v>339</v>
      </c>
    </row>
    <row r="56" spans="1:12">
      <c r="A56" s="5" t="s">
        <v>131</v>
      </c>
      <c r="B56" s="5" t="s">
        <v>142</v>
      </c>
      <c r="C56" s="5" t="s">
        <v>132</v>
      </c>
      <c r="D56" s="5" t="s">
        <v>340</v>
      </c>
      <c r="E56" s="6" t="b">
        <v>0</v>
      </c>
      <c r="F56" s="5" t="s">
        <v>341</v>
      </c>
      <c r="G56" s="5" t="s">
        <v>58</v>
      </c>
      <c r="H56" s="5" t="s">
        <v>342</v>
      </c>
      <c r="I56" s="11">
        <v>46242.25</v>
      </c>
      <c r="J56" s="11">
        <v>46243.435416666667</v>
      </c>
      <c r="K56" s="5" t="s">
        <v>62</v>
      </c>
      <c r="L56" s="5" t="s">
        <v>343</v>
      </c>
    </row>
    <row r="57" spans="1:12">
      <c r="A57" s="5" t="s">
        <v>131</v>
      </c>
      <c r="B57" s="5" t="s">
        <v>142</v>
      </c>
      <c r="C57" s="5" t="s">
        <v>132</v>
      </c>
      <c r="D57" s="5" t="s">
        <v>344</v>
      </c>
      <c r="E57" s="6" t="b">
        <v>1</v>
      </c>
      <c r="F57" s="5" t="s">
        <v>341</v>
      </c>
      <c r="G57" s="5" t="s">
        <v>58</v>
      </c>
      <c r="H57" s="5" t="s">
        <v>345</v>
      </c>
      <c r="I57" s="11">
        <v>46242.25</v>
      </c>
      <c r="J57" s="11">
        <v>46243.435416666667</v>
      </c>
      <c r="K57" s="5" t="s">
        <v>62</v>
      </c>
      <c r="L57" s="5" t="s">
        <v>346</v>
      </c>
    </row>
    <row r="58" spans="1:12">
      <c r="A58" s="5" t="s">
        <v>131</v>
      </c>
      <c r="B58" s="5" t="s">
        <v>142</v>
      </c>
      <c r="C58" s="5" t="s">
        <v>132</v>
      </c>
      <c r="D58" s="5" t="s">
        <v>347</v>
      </c>
      <c r="E58" s="6" t="b">
        <v>1</v>
      </c>
      <c r="F58" s="5" t="s">
        <v>341</v>
      </c>
      <c r="G58" s="5" t="s">
        <v>58</v>
      </c>
      <c r="H58" s="5" t="s">
        <v>348</v>
      </c>
      <c r="I58" s="11">
        <v>46242.25</v>
      </c>
      <c r="J58" s="11">
        <v>46243.435416666667</v>
      </c>
      <c r="K58" s="5" t="s">
        <v>62</v>
      </c>
      <c r="L58" s="5" t="s">
        <v>349</v>
      </c>
    </row>
    <row r="59" spans="1:12">
      <c r="A59" s="5" t="s">
        <v>131</v>
      </c>
      <c r="B59" s="5" t="s">
        <v>142</v>
      </c>
      <c r="C59" s="5" t="s">
        <v>132</v>
      </c>
      <c r="D59" s="5" t="s">
        <v>350</v>
      </c>
      <c r="E59" s="6" t="b">
        <v>1</v>
      </c>
      <c r="F59" s="5" t="s">
        <v>341</v>
      </c>
      <c r="G59" s="5" t="s">
        <v>58</v>
      </c>
      <c r="H59" s="5" t="s">
        <v>351</v>
      </c>
      <c r="I59" s="11">
        <v>46242.25</v>
      </c>
      <c r="J59" s="11">
        <v>46243.435416666667</v>
      </c>
      <c r="K59" s="5" t="s">
        <v>62</v>
      </c>
      <c r="L59" s="5" t="s">
        <v>352</v>
      </c>
    </row>
    <row r="60" spans="1:12">
      <c r="A60" s="5" t="s">
        <v>131</v>
      </c>
      <c r="B60" s="5" t="s">
        <v>142</v>
      </c>
      <c r="C60" s="5" t="s">
        <v>132</v>
      </c>
      <c r="D60" s="5" t="s">
        <v>353</v>
      </c>
      <c r="E60" s="5" t="s">
        <v>140</v>
      </c>
      <c r="F60" s="5" t="s">
        <v>354</v>
      </c>
      <c r="G60" s="5" t="s">
        <v>58</v>
      </c>
      <c r="H60" s="5" t="s">
        <v>355</v>
      </c>
      <c r="I60" s="11">
        <v>46242.25</v>
      </c>
      <c r="J60" s="11">
        <v>46243.435416666667</v>
      </c>
      <c r="K60" s="5" t="s">
        <v>62</v>
      </c>
      <c r="L60" s="5" t="s">
        <v>356</v>
      </c>
    </row>
    <row r="61" spans="1:12">
      <c r="A61" s="5" t="s">
        <v>145</v>
      </c>
      <c r="B61" s="5" t="s">
        <v>155</v>
      </c>
      <c r="C61" s="5" t="s">
        <v>146</v>
      </c>
      <c r="D61" s="5" t="s">
        <v>331</v>
      </c>
      <c r="E61" s="5">
        <v>7.8</v>
      </c>
      <c r="F61" s="5" t="s">
        <v>332</v>
      </c>
      <c r="G61" s="5" t="s">
        <v>58</v>
      </c>
      <c r="H61" s="5" t="s">
        <v>333</v>
      </c>
      <c r="I61" s="11">
        <v>46242.25</v>
      </c>
      <c r="J61" s="11">
        <v>46243.436805555553</v>
      </c>
      <c r="K61" s="5" t="s">
        <v>62</v>
      </c>
      <c r="L61" s="5" t="s">
        <v>334</v>
      </c>
    </row>
    <row r="62" spans="1:12">
      <c r="A62" s="5" t="s">
        <v>145</v>
      </c>
      <c r="B62" s="5" t="s">
        <v>155</v>
      </c>
      <c r="C62" s="5" t="s">
        <v>146</v>
      </c>
      <c r="D62" s="5" t="s">
        <v>335</v>
      </c>
      <c r="E62" s="5">
        <v>0.18</v>
      </c>
      <c r="F62" s="5" t="s">
        <v>332</v>
      </c>
      <c r="G62" s="5" t="s">
        <v>58</v>
      </c>
      <c r="H62" s="5" t="s">
        <v>336</v>
      </c>
      <c r="I62" s="11">
        <v>46242.25</v>
      </c>
      <c r="J62" s="11">
        <v>46243.436805555553</v>
      </c>
      <c r="K62" s="5" t="s">
        <v>62</v>
      </c>
      <c r="L62" s="5" t="s">
        <v>337</v>
      </c>
    </row>
    <row r="63" spans="1:12">
      <c r="A63" s="5" t="s">
        <v>145</v>
      </c>
      <c r="B63" s="5" t="s">
        <v>155</v>
      </c>
      <c r="C63" s="5" t="s">
        <v>146</v>
      </c>
      <c r="D63" s="5" t="s">
        <v>338</v>
      </c>
      <c r="E63" s="5">
        <v>0.71</v>
      </c>
      <c r="F63" s="5" t="s">
        <v>332</v>
      </c>
      <c r="G63" s="5" t="s">
        <v>58</v>
      </c>
      <c r="H63" s="5" t="s">
        <v>336</v>
      </c>
      <c r="I63" s="11">
        <v>46242.25</v>
      </c>
      <c r="J63" s="11">
        <v>46243.436805555553</v>
      </c>
      <c r="K63" s="5" t="s">
        <v>62</v>
      </c>
      <c r="L63" s="5" t="s">
        <v>339</v>
      </c>
    </row>
    <row r="64" spans="1:12">
      <c r="A64" s="5" t="s">
        <v>145</v>
      </c>
      <c r="B64" s="5" t="s">
        <v>155</v>
      </c>
      <c r="C64" s="5" t="s">
        <v>146</v>
      </c>
      <c r="D64" s="5" t="s">
        <v>340</v>
      </c>
      <c r="E64" s="6" t="b">
        <v>0</v>
      </c>
      <c r="F64" s="5" t="s">
        <v>341</v>
      </c>
      <c r="G64" s="5" t="s">
        <v>58</v>
      </c>
      <c r="H64" s="5" t="s">
        <v>342</v>
      </c>
      <c r="I64" s="11">
        <v>46242.25</v>
      </c>
      <c r="J64" s="11">
        <v>46243.436805555553</v>
      </c>
      <c r="K64" s="5" t="s">
        <v>62</v>
      </c>
      <c r="L64" s="5" t="s">
        <v>343</v>
      </c>
    </row>
    <row r="65" spans="1:12">
      <c r="A65" s="5" t="s">
        <v>145</v>
      </c>
      <c r="B65" s="5" t="s">
        <v>155</v>
      </c>
      <c r="C65" s="5" t="s">
        <v>146</v>
      </c>
      <c r="D65" s="5" t="s">
        <v>344</v>
      </c>
      <c r="E65" s="6" t="b">
        <v>0</v>
      </c>
      <c r="F65" s="5" t="s">
        <v>341</v>
      </c>
      <c r="G65" s="5" t="s">
        <v>58</v>
      </c>
      <c r="H65" s="5" t="s">
        <v>345</v>
      </c>
      <c r="I65" s="11">
        <v>46242.25</v>
      </c>
      <c r="J65" s="11">
        <v>46243.436805555553</v>
      </c>
      <c r="K65" s="5" t="s">
        <v>62</v>
      </c>
      <c r="L65" s="5" t="s">
        <v>346</v>
      </c>
    </row>
    <row r="66" spans="1:12">
      <c r="A66" s="5" t="s">
        <v>145</v>
      </c>
      <c r="B66" s="5" t="s">
        <v>155</v>
      </c>
      <c r="C66" s="5" t="s">
        <v>146</v>
      </c>
      <c r="D66" s="5" t="s">
        <v>347</v>
      </c>
      <c r="E66" s="6" t="b">
        <v>1</v>
      </c>
      <c r="F66" s="5" t="s">
        <v>341</v>
      </c>
      <c r="G66" s="5" t="s">
        <v>58</v>
      </c>
      <c r="H66" s="5" t="s">
        <v>348</v>
      </c>
      <c r="I66" s="11">
        <v>46242.25</v>
      </c>
      <c r="J66" s="11">
        <v>46243.436805555553</v>
      </c>
      <c r="K66" s="5" t="s">
        <v>62</v>
      </c>
      <c r="L66" s="5" t="s">
        <v>349</v>
      </c>
    </row>
    <row r="67" spans="1:12">
      <c r="A67" s="5" t="s">
        <v>145</v>
      </c>
      <c r="B67" s="5" t="s">
        <v>155</v>
      </c>
      <c r="C67" s="5" t="s">
        <v>146</v>
      </c>
      <c r="D67" s="5" t="s">
        <v>350</v>
      </c>
      <c r="E67" s="6" t="b">
        <v>0</v>
      </c>
      <c r="F67" s="5" t="s">
        <v>341</v>
      </c>
      <c r="G67" s="5" t="s">
        <v>58</v>
      </c>
      <c r="H67" s="5" t="s">
        <v>351</v>
      </c>
      <c r="I67" s="11">
        <v>46242.25</v>
      </c>
      <c r="J67" s="11">
        <v>46243.436805555553</v>
      </c>
      <c r="K67" s="5" t="s">
        <v>62</v>
      </c>
      <c r="L67" s="5" t="s">
        <v>352</v>
      </c>
    </row>
    <row r="68" spans="1:12">
      <c r="A68" s="5" t="s">
        <v>145</v>
      </c>
      <c r="B68" s="5" t="s">
        <v>155</v>
      </c>
      <c r="C68" s="5" t="s">
        <v>146</v>
      </c>
      <c r="D68" s="5" t="s">
        <v>353</v>
      </c>
      <c r="E68" s="5" t="s">
        <v>62</v>
      </c>
      <c r="F68" s="5" t="s">
        <v>354</v>
      </c>
      <c r="G68" s="5" t="s">
        <v>58</v>
      </c>
      <c r="H68" s="5" t="s">
        <v>355</v>
      </c>
      <c r="I68" s="11">
        <v>46242.25</v>
      </c>
      <c r="J68" s="11">
        <v>46243.436805555553</v>
      </c>
      <c r="K68" s="5" t="s">
        <v>62</v>
      </c>
      <c r="L68" s="5" t="s">
        <v>356</v>
      </c>
    </row>
    <row r="69" spans="1:12">
      <c r="A69" s="5" t="s">
        <v>158</v>
      </c>
      <c r="B69" s="5" t="s">
        <v>168</v>
      </c>
      <c r="C69" s="5" t="s">
        <v>159</v>
      </c>
      <c r="D69" s="5" t="s">
        <v>331</v>
      </c>
      <c r="E69" s="5">
        <v>8.1</v>
      </c>
      <c r="F69" s="5" t="s">
        <v>332</v>
      </c>
      <c r="G69" s="5" t="s">
        <v>58</v>
      </c>
      <c r="H69" s="5" t="s">
        <v>333</v>
      </c>
      <c r="I69" s="11">
        <v>46242.25</v>
      </c>
      <c r="J69" s="11">
        <v>46243.438194444447</v>
      </c>
      <c r="K69" s="5" t="s">
        <v>62</v>
      </c>
      <c r="L69" s="5" t="s">
        <v>334</v>
      </c>
    </row>
    <row r="70" spans="1:12">
      <c r="A70" s="5" t="s">
        <v>158</v>
      </c>
      <c r="B70" s="5" t="s">
        <v>168</v>
      </c>
      <c r="C70" s="5" t="s">
        <v>159</v>
      </c>
      <c r="D70" s="5" t="s">
        <v>335</v>
      </c>
      <c r="E70" s="5">
        <v>0.54</v>
      </c>
      <c r="F70" s="5" t="s">
        <v>332</v>
      </c>
      <c r="G70" s="5" t="s">
        <v>58</v>
      </c>
      <c r="H70" s="5" t="s">
        <v>336</v>
      </c>
      <c r="I70" s="11">
        <v>46242.25</v>
      </c>
      <c r="J70" s="11">
        <v>46243.438194444447</v>
      </c>
      <c r="K70" s="5" t="s">
        <v>62</v>
      </c>
      <c r="L70" s="5" t="s">
        <v>337</v>
      </c>
    </row>
    <row r="71" spans="1:12">
      <c r="A71" s="5" t="s">
        <v>158</v>
      </c>
      <c r="B71" s="5" t="s">
        <v>168</v>
      </c>
      <c r="C71" s="5" t="s">
        <v>159</v>
      </c>
      <c r="D71" s="5" t="s">
        <v>338</v>
      </c>
      <c r="E71" s="5">
        <v>0.94</v>
      </c>
      <c r="F71" s="5" t="s">
        <v>332</v>
      </c>
      <c r="G71" s="5" t="s">
        <v>58</v>
      </c>
      <c r="H71" s="5" t="s">
        <v>336</v>
      </c>
      <c r="I71" s="11">
        <v>46242.25</v>
      </c>
      <c r="J71" s="11">
        <v>46243.438194444447</v>
      </c>
      <c r="K71" s="5" t="s">
        <v>62</v>
      </c>
      <c r="L71" s="5" t="s">
        <v>339</v>
      </c>
    </row>
    <row r="72" spans="1:12">
      <c r="A72" s="5" t="s">
        <v>158</v>
      </c>
      <c r="B72" s="5" t="s">
        <v>168</v>
      </c>
      <c r="C72" s="5" t="s">
        <v>159</v>
      </c>
      <c r="D72" s="5" t="s">
        <v>340</v>
      </c>
      <c r="E72" s="6" t="b">
        <v>0</v>
      </c>
      <c r="F72" s="5" t="s">
        <v>341</v>
      </c>
      <c r="G72" s="5" t="s">
        <v>58</v>
      </c>
      <c r="H72" s="5" t="s">
        <v>342</v>
      </c>
      <c r="I72" s="11">
        <v>46242.25</v>
      </c>
      <c r="J72" s="11">
        <v>46243.438194444447</v>
      </c>
      <c r="K72" s="5" t="s">
        <v>62</v>
      </c>
      <c r="L72" s="5" t="s">
        <v>343</v>
      </c>
    </row>
    <row r="73" spans="1:12">
      <c r="A73" s="5" t="s">
        <v>158</v>
      </c>
      <c r="B73" s="5" t="s">
        <v>168</v>
      </c>
      <c r="C73" s="5" t="s">
        <v>159</v>
      </c>
      <c r="D73" s="5" t="s">
        <v>344</v>
      </c>
      <c r="E73" s="6" t="b">
        <v>1</v>
      </c>
      <c r="F73" s="5" t="s">
        <v>341</v>
      </c>
      <c r="G73" s="5" t="s">
        <v>58</v>
      </c>
      <c r="H73" s="5" t="s">
        <v>345</v>
      </c>
      <c r="I73" s="11">
        <v>46242.25</v>
      </c>
      <c r="J73" s="11">
        <v>46243.438194444447</v>
      </c>
      <c r="K73" s="5" t="s">
        <v>62</v>
      </c>
      <c r="L73" s="5" t="s">
        <v>346</v>
      </c>
    </row>
    <row r="74" spans="1:12">
      <c r="A74" s="5" t="s">
        <v>158</v>
      </c>
      <c r="B74" s="5" t="s">
        <v>168</v>
      </c>
      <c r="C74" s="5" t="s">
        <v>159</v>
      </c>
      <c r="D74" s="5" t="s">
        <v>347</v>
      </c>
      <c r="E74" s="6" t="b">
        <v>1</v>
      </c>
      <c r="F74" s="5" t="s">
        <v>341</v>
      </c>
      <c r="G74" s="5" t="s">
        <v>58</v>
      </c>
      <c r="H74" s="5" t="s">
        <v>348</v>
      </c>
      <c r="I74" s="11">
        <v>46242.25</v>
      </c>
      <c r="J74" s="11">
        <v>46243.438194444447</v>
      </c>
      <c r="K74" s="5" t="s">
        <v>62</v>
      </c>
      <c r="L74" s="5" t="s">
        <v>349</v>
      </c>
    </row>
    <row r="75" spans="1:12">
      <c r="A75" s="5" t="s">
        <v>158</v>
      </c>
      <c r="B75" s="5" t="s">
        <v>168</v>
      </c>
      <c r="C75" s="5" t="s">
        <v>159</v>
      </c>
      <c r="D75" s="5" t="s">
        <v>350</v>
      </c>
      <c r="E75" s="6" t="b">
        <v>1</v>
      </c>
      <c r="F75" s="5" t="s">
        <v>341</v>
      </c>
      <c r="G75" s="5" t="s">
        <v>58</v>
      </c>
      <c r="H75" s="5" t="s">
        <v>351</v>
      </c>
      <c r="I75" s="11">
        <v>46242.25</v>
      </c>
      <c r="J75" s="11">
        <v>46243.438194444447</v>
      </c>
      <c r="K75" s="5" t="s">
        <v>62</v>
      </c>
      <c r="L75" s="5" t="s">
        <v>352</v>
      </c>
    </row>
    <row r="76" spans="1:12">
      <c r="A76" s="5" t="s">
        <v>158</v>
      </c>
      <c r="B76" s="5" t="s">
        <v>168</v>
      </c>
      <c r="C76" s="5" t="s">
        <v>159</v>
      </c>
      <c r="D76" s="5" t="s">
        <v>353</v>
      </c>
      <c r="E76" s="5" t="s">
        <v>62</v>
      </c>
      <c r="F76" s="5" t="s">
        <v>354</v>
      </c>
      <c r="G76" s="5" t="s">
        <v>58</v>
      </c>
      <c r="H76" s="5" t="s">
        <v>355</v>
      </c>
      <c r="I76" s="11">
        <v>46242.25</v>
      </c>
      <c r="J76" s="11">
        <v>46243.438194444447</v>
      </c>
      <c r="K76" s="5" t="s">
        <v>62</v>
      </c>
      <c r="L76" s="5" t="s">
        <v>356</v>
      </c>
    </row>
    <row r="77" spans="1:12">
      <c r="A77" s="5" t="s">
        <v>171</v>
      </c>
      <c r="B77" s="5" t="s">
        <v>184</v>
      </c>
      <c r="C77" s="5" t="s">
        <v>172</v>
      </c>
      <c r="D77" s="5" t="s">
        <v>331</v>
      </c>
      <c r="E77" s="5">
        <v>9</v>
      </c>
      <c r="F77" s="5" t="s">
        <v>332</v>
      </c>
      <c r="G77" s="5" t="s">
        <v>58</v>
      </c>
      <c r="H77" s="5" t="s">
        <v>333</v>
      </c>
      <c r="I77" s="11">
        <v>46242.25</v>
      </c>
      <c r="J77" s="11">
        <v>46243.439583333333</v>
      </c>
      <c r="K77" s="5" t="s">
        <v>183</v>
      </c>
      <c r="L77" s="5" t="s">
        <v>334</v>
      </c>
    </row>
    <row r="78" spans="1:12">
      <c r="A78" s="5" t="s">
        <v>171</v>
      </c>
      <c r="B78" s="5" t="s">
        <v>184</v>
      </c>
      <c r="C78" s="5" t="s">
        <v>172</v>
      </c>
      <c r="D78" s="5" t="s">
        <v>335</v>
      </c>
      <c r="E78" s="5"/>
      <c r="F78" s="5" t="s">
        <v>332</v>
      </c>
      <c r="G78" s="5" t="s">
        <v>180</v>
      </c>
      <c r="H78" s="5" t="s">
        <v>336</v>
      </c>
      <c r="I78" s="11"/>
      <c r="J78" s="11">
        <v>46243.439583333333</v>
      </c>
      <c r="K78" s="5" t="s">
        <v>183</v>
      </c>
      <c r="L78" s="5" t="s">
        <v>337</v>
      </c>
    </row>
    <row r="79" spans="1:12">
      <c r="A79" s="5" t="s">
        <v>171</v>
      </c>
      <c r="B79" s="5" t="s">
        <v>184</v>
      </c>
      <c r="C79" s="5" t="s">
        <v>172</v>
      </c>
      <c r="D79" s="5" t="s">
        <v>338</v>
      </c>
      <c r="E79" s="5"/>
      <c r="F79" s="5" t="s">
        <v>332</v>
      </c>
      <c r="G79" s="5" t="s">
        <v>180</v>
      </c>
      <c r="H79" s="5" t="s">
        <v>336</v>
      </c>
      <c r="I79" s="11"/>
      <c r="J79" s="11">
        <v>46243.439583333333</v>
      </c>
      <c r="K79" s="5" t="s">
        <v>183</v>
      </c>
      <c r="L79" s="5" t="s">
        <v>339</v>
      </c>
    </row>
    <row r="80" spans="1:12">
      <c r="A80" s="5" t="s">
        <v>171</v>
      </c>
      <c r="B80" s="5" t="s">
        <v>184</v>
      </c>
      <c r="C80" s="5" t="s">
        <v>172</v>
      </c>
      <c r="D80" s="5" t="s">
        <v>340</v>
      </c>
      <c r="E80" s="5"/>
      <c r="F80" s="5" t="s">
        <v>341</v>
      </c>
      <c r="G80" s="5" t="s">
        <v>180</v>
      </c>
      <c r="H80" s="5" t="s">
        <v>342</v>
      </c>
      <c r="I80" s="11"/>
      <c r="J80" s="11">
        <v>46243.439583333333</v>
      </c>
      <c r="K80" s="5" t="s">
        <v>183</v>
      </c>
      <c r="L80" s="5" t="s">
        <v>343</v>
      </c>
    </row>
    <row r="81" spans="1:12">
      <c r="A81" s="5" t="s">
        <v>171</v>
      </c>
      <c r="B81" s="5" t="s">
        <v>184</v>
      </c>
      <c r="C81" s="5" t="s">
        <v>172</v>
      </c>
      <c r="D81" s="5" t="s">
        <v>344</v>
      </c>
      <c r="E81" s="6" t="b">
        <v>1</v>
      </c>
      <c r="F81" s="5" t="s">
        <v>341</v>
      </c>
      <c r="G81" s="5" t="s">
        <v>58</v>
      </c>
      <c r="H81" s="5" t="s">
        <v>345</v>
      </c>
      <c r="I81" s="11">
        <v>46242.25</v>
      </c>
      <c r="J81" s="11">
        <v>46243.439583333333</v>
      </c>
      <c r="K81" s="5" t="s">
        <v>183</v>
      </c>
      <c r="L81" s="5" t="s">
        <v>346</v>
      </c>
    </row>
    <row r="82" spans="1:12">
      <c r="A82" s="5" t="s">
        <v>171</v>
      </c>
      <c r="B82" s="5" t="s">
        <v>184</v>
      </c>
      <c r="C82" s="5" t="s">
        <v>172</v>
      </c>
      <c r="D82" s="5" t="s">
        <v>347</v>
      </c>
      <c r="E82" s="6" t="b">
        <v>1</v>
      </c>
      <c r="F82" s="5" t="s">
        <v>341</v>
      </c>
      <c r="G82" s="5" t="s">
        <v>58</v>
      </c>
      <c r="H82" s="5" t="s">
        <v>348</v>
      </c>
      <c r="I82" s="11">
        <v>46242.25</v>
      </c>
      <c r="J82" s="11">
        <v>46243.439583333333</v>
      </c>
      <c r="K82" s="5" t="s">
        <v>183</v>
      </c>
      <c r="L82" s="5" t="s">
        <v>349</v>
      </c>
    </row>
    <row r="83" spans="1:12">
      <c r="A83" s="5" t="s">
        <v>171</v>
      </c>
      <c r="B83" s="5" t="s">
        <v>184</v>
      </c>
      <c r="C83" s="5" t="s">
        <v>172</v>
      </c>
      <c r="D83" s="5" t="s">
        <v>350</v>
      </c>
      <c r="E83" s="6" t="b">
        <v>1</v>
      </c>
      <c r="F83" s="5" t="s">
        <v>341</v>
      </c>
      <c r="G83" s="5" t="s">
        <v>58</v>
      </c>
      <c r="H83" s="5" t="s">
        <v>351</v>
      </c>
      <c r="I83" s="11">
        <v>46242.25</v>
      </c>
      <c r="J83" s="11">
        <v>46243.439583333333</v>
      </c>
      <c r="K83" s="5" t="s">
        <v>183</v>
      </c>
      <c r="L83" s="5" t="s">
        <v>352</v>
      </c>
    </row>
    <row r="84" spans="1:12">
      <c r="A84" s="5" t="s">
        <v>171</v>
      </c>
      <c r="B84" s="5" t="s">
        <v>184</v>
      </c>
      <c r="C84" s="5" t="s">
        <v>172</v>
      </c>
      <c r="D84" s="5" t="s">
        <v>353</v>
      </c>
      <c r="E84" s="5" t="s">
        <v>59</v>
      </c>
      <c r="F84" s="5" t="s">
        <v>354</v>
      </c>
      <c r="G84" s="5" t="s">
        <v>58</v>
      </c>
      <c r="H84" s="5" t="s">
        <v>355</v>
      </c>
      <c r="I84" s="11">
        <v>46242.25</v>
      </c>
      <c r="J84" s="11">
        <v>46243.439583333333</v>
      </c>
      <c r="K84" s="5" t="s">
        <v>183</v>
      </c>
      <c r="L84" s="5" t="s">
        <v>356</v>
      </c>
    </row>
    <row r="85" spans="1:12">
      <c r="A85" s="5" t="s">
        <v>187</v>
      </c>
      <c r="B85" s="5" t="s">
        <v>199</v>
      </c>
      <c r="C85" s="5" t="s">
        <v>188</v>
      </c>
      <c r="D85" s="5" t="s">
        <v>331</v>
      </c>
      <c r="E85" s="5">
        <v>6.5</v>
      </c>
      <c r="F85" s="5" t="s">
        <v>332</v>
      </c>
      <c r="G85" s="5" t="s">
        <v>58</v>
      </c>
      <c r="H85" s="5" t="s">
        <v>333</v>
      </c>
      <c r="I85" s="11">
        <v>46242.25</v>
      </c>
      <c r="J85" s="11">
        <v>46243.440972222219</v>
      </c>
      <c r="K85" s="5" t="s">
        <v>183</v>
      </c>
      <c r="L85" s="5" t="s">
        <v>334</v>
      </c>
    </row>
    <row r="86" spans="1:12">
      <c r="A86" s="5" t="s">
        <v>187</v>
      </c>
      <c r="B86" s="5" t="s">
        <v>199</v>
      </c>
      <c r="C86" s="5" t="s">
        <v>188</v>
      </c>
      <c r="D86" s="5" t="s">
        <v>335</v>
      </c>
      <c r="E86" s="5">
        <v>0.44</v>
      </c>
      <c r="F86" s="5" t="s">
        <v>332</v>
      </c>
      <c r="G86" s="5" t="s">
        <v>196</v>
      </c>
      <c r="H86" s="5" t="s">
        <v>357</v>
      </c>
      <c r="I86" s="11">
        <v>46223.25</v>
      </c>
      <c r="J86" s="11">
        <v>46243.440972222219</v>
      </c>
      <c r="K86" s="5" t="s">
        <v>183</v>
      </c>
      <c r="L86" s="5" t="s">
        <v>337</v>
      </c>
    </row>
    <row r="87" spans="1:12">
      <c r="A87" s="5" t="s">
        <v>187</v>
      </c>
      <c r="B87" s="5" t="s">
        <v>199</v>
      </c>
      <c r="C87" s="5" t="s">
        <v>188</v>
      </c>
      <c r="D87" s="5" t="s">
        <v>338</v>
      </c>
      <c r="E87" s="5">
        <v>0.91</v>
      </c>
      <c r="F87" s="5" t="s">
        <v>332</v>
      </c>
      <c r="G87" s="5" t="s">
        <v>196</v>
      </c>
      <c r="H87" s="5" t="s">
        <v>357</v>
      </c>
      <c r="I87" s="11">
        <v>46223.25</v>
      </c>
      <c r="J87" s="11">
        <v>46243.440972222219</v>
      </c>
      <c r="K87" s="5" t="s">
        <v>183</v>
      </c>
      <c r="L87" s="5" t="s">
        <v>339</v>
      </c>
    </row>
    <row r="88" spans="1:12">
      <c r="A88" s="5" t="s">
        <v>187</v>
      </c>
      <c r="B88" s="5" t="s">
        <v>199</v>
      </c>
      <c r="C88" s="5" t="s">
        <v>188</v>
      </c>
      <c r="D88" s="5" t="s">
        <v>340</v>
      </c>
      <c r="E88" s="6" t="b">
        <v>0</v>
      </c>
      <c r="F88" s="5" t="s">
        <v>341</v>
      </c>
      <c r="G88" s="5" t="s">
        <v>196</v>
      </c>
      <c r="H88" s="5" t="s">
        <v>358</v>
      </c>
      <c r="I88" s="11">
        <v>46223.25</v>
      </c>
      <c r="J88" s="11">
        <v>46243.440972222219</v>
      </c>
      <c r="K88" s="5" t="s">
        <v>183</v>
      </c>
      <c r="L88" s="5" t="s">
        <v>343</v>
      </c>
    </row>
    <row r="89" spans="1:12">
      <c r="A89" s="5" t="s">
        <v>187</v>
      </c>
      <c r="B89" s="5" t="s">
        <v>199</v>
      </c>
      <c r="C89" s="5" t="s">
        <v>188</v>
      </c>
      <c r="D89" s="5" t="s">
        <v>344</v>
      </c>
      <c r="E89" s="6" t="b">
        <v>1</v>
      </c>
      <c r="F89" s="5" t="s">
        <v>341</v>
      </c>
      <c r="G89" s="5" t="s">
        <v>58</v>
      </c>
      <c r="H89" s="5" t="s">
        <v>345</v>
      </c>
      <c r="I89" s="11">
        <v>46242.25</v>
      </c>
      <c r="J89" s="11">
        <v>46243.440972222219</v>
      </c>
      <c r="K89" s="5" t="s">
        <v>183</v>
      </c>
      <c r="L89" s="5" t="s">
        <v>346</v>
      </c>
    </row>
    <row r="90" spans="1:12">
      <c r="A90" s="5" t="s">
        <v>187</v>
      </c>
      <c r="B90" s="5" t="s">
        <v>199</v>
      </c>
      <c r="C90" s="5" t="s">
        <v>188</v>
      </c>
      <c r="D90" s="5" t="s">
        <v>347</v>
      </c>
      <c r="E90" s="6" t="b">
        <v>1</v>
      </c>
      <c r="F90" s="5" t="s">
        <v>341</v>
      </c>
      <c r="G90" s="5" t="s">
        <v>58</v>
      </c>
      <c r="H90" s="5" t="s">
        <v>348</v>
      </c>
      <c r="I90" s="11">
        <v>46242.25</v>
      </c>
      <c r="J90" s="11">
        <v>46243.440972222219</v>
      </c>
      <c r="K90" s="5" t="s">
        <v>183</v>
      </c>
      <c r="L90" s="5" t="s">
        <v>349</v>
      </c>
    </row>
    <row r="91" spans="1:12">
      <c r="A91" s="5" t="s">
        <v>187</v>
      </c>
      <c r="B91" s="5" t="s">
        <v>199</v>
      </c>
      <c r="C91" s="5" t="s">
        <v>188</v>
      </c>
      <c r="D91" s="5" t="s">
        <v>350</v>
      </c>
      <c r="E91" s="6" t="b">
        <v>1</v>
      </c>
      <c r="F91" s="5" t="s">
        <v>341</v>
      </c>
      <c r="G91" s="5" t="s">
        <v>58</v>
      </c>
      <c r="H91" s="5" t="s">
        <v>351</v>
      </c>
      <c r="I91" s="11">
        <v>46242.25</v>
      </c>
      <c r="J91" s="11">
        <v>46243.440972222219</v>
      </c>
      <c r="K91" s="5" t="s">
        <v>183</v>
      </c>
      <c r="L91" s="5" t="s">
        <v>352</v>
      </c>
    </row>
    <row r="92" spans="1:12">
      <c r="A92" s="5" t="s">
        <v>187</v>
      </c>
      <c r="B92" s="5" t="s">
        <v>199</v>
      </c>
      <c r="C92" s="5" t="s">
        <v>188</v>
      </c>
      <c r="D92" s="5" t="s">
        <v>353</v>
      </c>
      <c r="E92" s="5" t="s">
        <v>140</v>
      </c>
      <c r="F92" s="5" t="s">
        <v>354</v>
      </c>
      <c r="G92" s="5" t="s">
        <v>58</v>
      </c>
      <c r="H92" s="5" t="s">
        <v>355</v>
      </c>
      <c r="I92" s="11">
        <v>46242.25</v>
      </c>
      <c r="J92" s="11">
        <v>46243.440972222219</v>
      </c>
      <c r="K92" s="5" t="s">
        <v>183</v>
      </c>
      <c r="L92" s="5" t="s">
        <v>356</v>
      </c>
    </row>
    <row r="93" spans="1:12">
      <c r="A93" s="5" t="s">
        <v>202</v>
      </c>
      <c r="B93" s="5" t="s">
        <v>212</v>
      </c>
      <c r="C93" s="5" t="s">
        <v>203</v>
      </c>
      <c r="D93" s="5" t="s">
        <v>331</v>
      </c>
      <c r="E93" s="5">
        <v>7.2</v>
      </c>
      <c r="F93" s="5" t="s">
        <v>332</v>
      </c>
      <c r="G93" s="5" t="s">
        <v>58</v>
      </c>
      <c r="H93" s="5" t="s">
        <v>333</v>
      </c>
      <c r="I93" s="11">
        <v>46242.25</v>
      </c>
      <c r="J93" s="11">
        <v>46243.442361111112</v>
      </c>
      <c r="K93" s="5" t="s">
        <v>62</v>
      </c>
      <c r="L93" s="5" t="s">
        <v>334</v>
      </c>
    </row>
    <row r="94" spans="1:12">
      <c r="A94" s="5" t="s">
        <v>202</v>
      </c>
      <c r="B94" s="5" t="s">
        <v>212</v>
      </c>
      <c r="C94" s="5" t="s">
        <v>203</v>
      </c>
      <c r="D94" s="5" t="s">
        <v>335</v>
      </c>
      <c r="E94" s="5">
        <v>0.12</v>
      </c>
      <c r="F94" s="5" t="s">
        <v>332</v>
      </c>
      <c r="G94" s="5" t="s">
        <v>58</v>
      </c>
      <c r="H94" s="5" t="s">
        <v>336</v>
      </c>
      <c r="I94" s="11">
        <v>46242.25</v>
      </c>
      <c r="J94" s="11">
        <v>46243.442361111112</v>
      </c>
      <c r="K94" s="5" t="s">
        <v>62</v>
      </c>
      <c r="L94" s="5" t="s">
        <v>337</v>
      </c>
    </row>
    <row r="95" spans="1:12">
      <c r="A95" s="5" t="s">
        <v>202</v>
      </c>
      <c r="B95" s="5" t="s">
        <v>212</v>
      </c>
      <c r="C95" s="5" t="s">
        <v>203</v>
      </c>
      <c r="D95" s="5" t="s">
        <v>338</v>
      </c>
      <c r="E95" s="5">
        <v>0.62</v>
      </c>
      <c r="F95" s="5" t="s">
        <v>332</v>
      </c>
      <c r="G95" s="5" t="s">
        <v>58</v>
      </c>
      <c r="H95" s="5" t="s">
        <v>336</v>
      </c>
      <c r="I95" s="11">
        <v>46242.25</v>
      </c>
      <c r="J95" s="11">
        <v>46243.442361111112</v>
      </c>
      <c r="K95" s="5" t="s">
        <v>62</v>
      </c>
      <c r="L95" s="5" t="s">
        <v>339</v>
      </c>
    </row>
    <row r="96" spans="1:12">
      <c r="A96" s="5" t="s">
        <v>202</v>
      </c>
      <c r="B96" s="5" t="s">
        <v>212</v>
      </c>
      <c r="C96" s="5" t="s">
        <v>203</v>
      </c>
      <c r="D96" s="5" t="s">
        <v>340</v>
      </c>
      <c r="E96" s="6" t="b">
        <v>0</v>
      </c>
      <c r="F96" s="5" t="s">
        <v>341</v>
      </c>
      <c r="G96" s="5" t="s">
        <v>58</v>
      </c>
      <c r="H96" s="5" t="s">
        <v>342</v>
      </c>
      <c r="I96" s="11">
        <v>46242.25</v>
      </c>
      <c r="J96" s="11">
        <v>46243.442361111112</v>
      </c>
      <c r="K96" s="5" t="s">
        <v>62</v>
      </c>
      <c r="L96" s="5" t="s">
        <v>343</v>
      </c>
    </row>
    <row r="97" spans="1:12">
      <c r="A97" s="5" t="s">
        <v>202</v>
      </c>
      <c r="B97" s="5" t="s">
        <v>212</v>
      </c>
      <c r="C97" s="5" t="s">
        <v>203</v>
      </c>
      <c r="D97" s="5" t="s">
        <v>344</v>
      </c>
      <c r="E97" s="6" t="b">
        <v>0</v>
      </c>
      <c r="F97" s="5" t="s">
        <v>341</v>
      </c>
      <c r="G97" s="5" t="s">
        <v>58</v>
      </c>
      <c r="H97" s="5" t="s">
        <v>345</v>
      </c>
      <c r="I97" s="11">
        <v>46242.25</v>
      </c>
      <c r="J97" s="11">
        <v>46243.442361111112</v>
      </c>
      <c r="K97" s="5" t="s">
        <v>62</v>
      </c>
      <c r="L97" s="5" t="s">
        <v>346</v>
      </c>
    </row>
    <row r="98" spans="1:12">
      <c r="A98" s="5" t="s">
        <v>202</v>
      </c>
      <c r="B98" s="5" t="s">
        <v>212</v>
      </c>
      <c r="C98" s="5" t="s">
        <v>203</v>
      </c>
      <c r="D98" s="5" t="s">
        <v>347</v>
      </c>
      <c r="E98" s="6" t="b">
        <v>0</v>
      </c>
      <c r="F98" s="5" t="s">
        <v>341</v>
      </c>
      <c r="G98" s="5" t="s">
        <v>58</v>
      </c>
      <c r="H98" s="5" t="s">
        <v>348</v>
      </c>
      <c r="I98" s="11">
        <v>46242.25</v>
      </c>
      <c r="J98" s="11">
        <v>46243.442361111112</v>
      </c>
      <c r="K98" s="5" t="s">
        <v>62</v>
      </c>
      <c r="L98" s="5" t="s">
        <v>349</v>
      </c>
    </row>
    <row r="99" spans="1:12">
      <c r="A99" s="5" t="s">
        <v>202</v>
      </c>
      <c r="B99" s="5" t="s">
        <v>212</v>
      </c>
      <c r="C99" s="5" t="s">
        <v>203</v>
      </c>
      <c r="D99" s="5" t="s">
        <v>350</v>
      </c>
      <c r="E99" s="6" t="b">
        <v>0</v>
      </c>
      <c r="F99" s="5" t="s">
        <v>341</v>
      </c>
      <c r="G99" s="5" t="s">
        <v>58</v>
      </c>
      <c r="H99" s="5" t="s">
        <v>351</v>
      </c>
      <c r="I99" s="11">
        <v>46242.25</v>
      </c>
      <c r="J99" s="11">
        <v>46243.442361111112</v>
      </c>
      <c r="K99" s="5" t="s">
        <v>62</v>
      </c>
      <c r="L99" s="5" t="s">
        <v>352</v>
      </c>
    </row>
    <row r="100" spans="1:12">
      <c r="A100" s="5" t="s">
        <v>202</v>
      </c>
      <c r="B100" s="5" t="s">
        <v>212</v>
      </c>
      <c r="C100" s="5" t="s">
        <v>203</v>
      </c>
      <c r="D100" s="5" t="s">
        <v>353</v>
      </c>
      <c r="E100" s="5" t="s">
        <v>183</v>
      </c>
      <c r="F100" s="5" t="s">
        <v>354</v>
      </c>
      <c r="G100" s="5" t="s">
        <v>58</v>
      </c>
      <c r="H100" s="5" t="s">
        <v>355</v>
      </c>
      <c r="I100" s="11">
        <v>46242.25</v>
      </c>
      <c r="J100" s="11">
        <v>46243.442361111112</v>
      </c>
      <c r="K100" s="5" t="s">
        <v>62</v>
      </c>
      <c r="L100" s="5" t="s">
        <v>356</v>
      </c>
    </row>
    <row r="101" spans="1:12">
      <c r="A101" s="5" t="s">
        <v>215</v>
      </c>
      <c r="B101" s="5" t="s">
        <v>225</v>
      </c>
      <c r="C101" s="5" t="s">
        <v>216</v>
      </c>
      <c r="D101" s="5" t="s">
        <v>331</v>
      </c>
      <c r="E101" s="5">
        <v>9.8000000000000007</v>
      </c>
      <c r="F101" s="5" t="s">
        <v>332</v>
      </c>
      <c r="G101" s="5" t="s">
        <v>58</v>
      </c>
      <c r="H101" s="5" t="s">
        <v>333</v>
      </c>
      <c r="I101" s="11">
        <v>46242.25</v>
      </c>
      <c r="J101" s="11">
        <v>46243.443749999999</v>
      </c>
      <c r="K101" s="5" t="s">
        <v>62</v>
      </c>
      <c r="L101" s="5" t="s">
        <v>334</v>
      </c>
    </row>
    <row r="102" spans="1:12">
      <c r="A102" s="5" t="s">
        <v>215</v>
      </c>
      <c r="B102" s="5" t="s">
        <v>225</v>
      </c>
      <c r="C102" s="5" t="s">
        <v>216</v>
      </c>
      <c r="D102" s="5" t="s">
        <v>335</v>
      </c>
      <c r="E102" s="5">
        <v>0.94</v>
      </c>
      <c r="F102" s="5" t="s">
        <v>332</v>
      </c>
      <c r="G102" s="5" t="s">
        <v>58</v>
      </c>
      <c r="H102" s="5" t="s">
        <v>336</v>
      </c>
      <c r="I102" s="11">
        <v>46242.25</v>
      </c>
      <c r="J102" s="11">
        <v>46243.443749999999</v>
      </c>
      <c r="K102" s="5" t="s">
        <v>62</v>
      </c>
      <c r="L102" s="5" t="s">
        <v>337</v>
      </c>
    </row>
    <row r="103" spans="1:12">
      <c r="A103" s="5" t="s">
        <v>215</v>
      </c>
      <c r="B103" s="5" t="s">
        <v>225</v>
      </c>
      <c r="C103" s="5" t="s">
        <v>216</v>
      </c>
      <c r="D103" s="5" t="s">
        <v>338</v>
      </c>
      <c r="E103" s="5">
        <v>0.997</v>
      </c>
      <c r="F103" s="5" t="s">
        <v>332</v>
      </c>
      <c r="G103" s="5" t="s">
        <v>58</v>
      </c>
      <c r="H103" s="5" t="s">
        <v>336</v>
      </c>
      <c r="I103" s="11">
        <v>46242.25</v>
      </c>
      <c r="J103" s="11">
        <v>46243.443749999999</v>
      </c>
      <c r="K103" s="5" t="s">
        <v>62</v>
      </c>
      <c r="L103" s="5" t="s">
        <v>339</v>
      </c>
    </row>
    <row r="104" spans="1:12">
      <c r="A104" s="5" t="s">
        <v>215</v>
      </c>
      <c r="B104" s="5" t="s">
        <v>225</v>
      </c>
      <c r="C104" s="5" t="s">
        <v>216</v>
      </c>
      <c r="D104" s="5" t="s">
        <v>340</v>
      </c>
      <c r="E104" s="6" t="b">
        <v>0</v>
      </c>
      <c r="F104" s="5" t="s">
        <v>341</v>
      </c>
      <c r="G104" s="5" t="s">
        <v>58</v>
      </c>
      <c r="H104" s="5" t="s">
        <v>342</v>
      </c>
      <c r="I104" s="11">
        <v>46242.25</v>
      </c>
      <c r="J104" s="11">
        <v>46243.443749999999</v>
      </c>
      <c r="K104" s="5" t="s">
        <v>62</v>
      </c>
      <c r="L104" s="5" t="s">
        <v>343</v>
      </c>
    </row>
    <row r="105" spans="1:12">
      <c r="A105" s="5" t="s">
        <v>215</v>
      </c>
      <c r="B105" s="5" t="s">
        <v>225</v>
      </c>
      <c r="C105" s="5" t="s">
        <v>216</v>
      </c>
      <c r="D105" s="5" t="s">
        <v>344</v>
      </c>
      <c r="E105" s="6" t="b">
        <v>1</v>
      </c>
      <c r="F105" s="5" t="s">
        <v>341</v>
      </c>
      <c r="G105" s="5" t="s">
        <v>58</v>
      </c>
      <c r="H105" s="5" t="s">
        <v>345</v>
      </c>
      <c r="I105" s="11">
        <v>46242.25</v>
      </c>
      <c r="J105" s="11">
        <v>46243.443749999999</v>
      </c>
      <c r="K105" s="5" t="s">
        <v>62</v>
      </c>
      <c r="L105" s="5" t="s">
        <v>346</v>
      </c>
    </row>
    <row r="106" spans="1:12">
      <c r="A106" s="5" t="s">
        <v>215</v>
      </c>
      <c r="B106" s="5" t="s">
        <v>225</v>
      </c>
      <c r="C106" s="5" t="s">
        <v>216</v>
      </c>
      <c r="D106" s="5" t="s">
        <v>347</v>
      </c>
      <c r="E106" s="6" t="b">
        <v>1</v>
      </c>
      <c r="F106" s="5" t="s">
        <v>341</v>
      </c>
      <c r="G106" s="5" t="s">
        <v>58</v>
      </c>
      <c r="H106" s="5" t="s">
        <v>348</v>
      </c>
      <c r="I106" s="11">
        <v>46242.25</v>
      </c>
      <c r="J106" s="11">
        <v>46243.443749999999</v>
      </c>
      <c r="K106" s="5" t="s">
        <v>62</v>
      </c>
      <c r="L106" s="5" t="s">
        <v>349</v>
      </c>
    </row>
    <row r="107" spans="1:12">
      <c r="A107" s="5" t="s">
        <v>215</v>
      </c>
      <c r="B107" s="5" t="s">
        <v>225</v>
      </c>
      <c r="C107" s="5" t="s">
        <v>216</v>
      </c>
      <c r="D107" s="5" t="s">
        <v>350</v>
      </c>
      <c r="E107" s="6" t="b">
        <v>1</v>
      </c>
      <c r="F107" s="5" t="s">
        <v>341</v>
      </c>
      <c r="G107" s="5" t="s">
        <v>58</v>
      </c>
      <c r="H107" s="5" t="s">
        <v>351</v>
      </c>
      <c r="I107" s="11">
        <v>46242.25</v>
      </c>
      <c r="J107" s="11">
        <v>46243.443749999999</v>
      </c>
      <c r="K107" s="5" t="s">
        <v>62</v>
      </c>
      <c r="L107" s="5" t="s">
        <v>352</v>
      </c>
    </row>
    <row r="108" spans="1:12">
      <c r="A108" s="5" t="s">
        <v>215</v>
      </c>
      <c r="B108" s="5" t="s">
        <v>225</v>
      </c>
      <c r="C108" s="5" t="s">
        <v>216</v>
      </c>
      <c r="D108" s="5" t="s">
        <v>353</v>
      </c>
      <c r="E108" s="5" t="s">
        <v>59</v>
      </c>
      <c r="F108" s="5" t="s">
        <v>354</v>
      </c>
      <c r="G108" s="5" t="s">
        <v>58</v>
      </c>
      <c r="H108" s="5" t="s">
        <v>355</v>
      </c>
      <c r="I108" s="11">
        <v>46242.25</v>
      </c>
      <c r="J108" s="11">
        <v>46243.443749999999</v>
      </c>
      <c r="K108" s="5" t="s">
        <v>62</v>
      </c>
      <c r="L108" s="5" t="s">
        <v>356</v>
      </c>
    </row>
    <row r="109" spans="1:12">
      <c r="A109" s="5" t="s">
        <v>228</v>
      </c>
      <c r="B109" s="5" t="s">
        <v>238</v>
      </c>
      <c r="C109" s="5" t="s">
        <v>229</v>
      </c>
      <c r="D109" s="5" t="s">
        <v>331</v>
      </c>
      <c r="E109" s="5">
        <v>6.1</v>
      </c>
      <c r="F109" s="5" t="s">
        <v>332</v>
      </c>
      <c r="G109" s="5" t="s">
        <v>58</v>
      </c>
      <c r="H109" s="5" t="s">
        <v>333</v>
      </c>
      <c r="I109" s="11">
        <v>46242.25</v>
      </c>
      <c r="J109" s="11">
        <v>46243.445138888892</v>
      </c>
      <c r="K109" s="5" t="s">
        <v>62</v>
      </c>
      <c r="L109" s="5" t="s">
        <v>334</v>
      </c>
    </row>
    <row r="110" spans="1:12">
      <c r="A110" s="5" t="s">
        <v>228</v>
      </c>
      <c r="B110" s="5" t="s">
        <v>238</v>
      </c>
      <c r="C110" s="5" t="s">
        <v>229</v>
      </c>
      <c r="D110" s="5" t="s">
        <v>335</v>
      </c>
      <c r="E110" s="5">
        <v>0.08</v>
      </c>
      <c r="F110" s="5" t="s">
        <v>332</v>
      </c>
      <c r="G110" s="5" t="s">
        <v>58</v>
      </c>
      <c r="H110" s="5" t="s">
        <v>336</v>
      </c>
      <c r="I110" s="11">
        <v>46242.25</v>
      </c>
      <c r="J110" s="11">
        <v>46243.445138888892</v>
      </c>
      <c r="K110" s="5" t="s">
        <v>62</v>
      </c>
      <c r="L110" s="5" t="s">
        <v>337</v>
      </c>
    </row>
    <row r="111" spans="1:12">
      <c r="A111" s="5" t="s">
        <v>228</v>
      </c>
      <c r="B111" s="5" t="s">
        <v>238</v>
      </c>
      <c r="C111" s="5" t="s">
        <v>229</v>
      </c>
      <c r="D111" s="5" t="s">
        <v>338</v>
      </c>
      <c r="E111" s="5">
        <v>0.41</v>
      </c>
      <c r="F111" s="5" t="s">
        <v>332</v>
      </c>
      <c r="G111" s="5" t="s">
        <v>58</v>
      </c>
      <c r="H111" s="5" t="s">
        <v>336</v>
      </c>
      <c r="I111" s="11">
        <v>46242.25</v>
      </c>
      <c r="J111" s="11">
        <v>46243.445138888892</v>
      </c>
      <c r="K111" s="5" t="s">
        <v>62</v>
      </c>
      <c r="L111" s="5" t="s">
        <v>339</v>
      </c>
    </row>
    <row r="112" spans="1:12">
      <c r="A112" s="5" t="s">
        <v>228</v>
      </c>
      <c r="B112" s="5" t="s">
        <v>238</v>
      </c>
      <c r="C112" s="5" t="s">
        <v>229</v>
      </c>
      <c r="D112" s="5" t="s">
        <v>340</v>
      </c>
      <c r="E112" s="6" t="b">
        <v>0</v>
      </c>
      <c r="F112" s="5" t="s">
        <v>341</v>
      </c>
      <c r="G112" s="5" t="s">
        <v>58</v>
      </c>
      <c r="H112" s="5" t="s">
        <v>342</v>
      </c>
      <c r="I112" s="11">
        <v>46242.25</v>
      </c>
      <c r="J112" s="11">
        <v>46243.445138888892</v>
      </c>
      <c r="K112" s="5" t="s">
        <v>62</v>
      </c>
      <c r="L112" s="5" t="s">
        <v>343</v>
      </c>
    </row>
    <row r="113" spans="1:12">
      <c r="A113" s="5" t="s">
        <v>228</v>
      </c>
      <c r="B113" s="5" t="s">
        <v>238</v>
      </c>
      <c r="C113" s="5" t="s">
        <v>229</v>
      </c>
      <c r="D113" s="5" t="s">
        <v>344</v>
      </c>
      <c r="E113" s="6" t="b">
        <v>1</v>
      </c>
      <c r="F113" s="5" t="s">
        <v>341</v>
      </c>
      <c r="G113" s="5" t="s">
        <v>58</v>
      </c>
      <c r="H113" s="5" t="s">
        <v>345</v>
      </c>
      <c r="I113" s="11">
        <v>46242.25</v>
      </c>
      <c r="J113" s="11">
        <v>46243.445138888892</v>
      </c>
      <c r="K113" s="5" t="s">
        <v>62</v>
      </c>
      <c r="L113" s="5" t="s">
        <v>346</v>
      </c>
    </row>
    <row r="114" spans="1:12">
      <c r="A114" s="5" t="s">
        <v>228</v>
      </c>
      <c r="B114" s="5" t="s">
        <v>238</v>
      </c>
      <c r="C114" s="5" t="s">
        <v>229</v>
      </c>
      <c r="D114" s="5" t="s">
        <v>347</v>
      </c>
      <c r="E114" s="6" t="b">
        <v>1</v>
      </c>
      <c r="F114" s="5" t="s">
        <v>341</v>
      </c>
      <c r="G114" s="5" t="s">
        <v>58</v>
      </c>
      <c r="H114" s="5" t="s">
        <v>348</v>
      </c>
      <c r="I114" s="11">
        <v>46242.25</v>
      </c>
      <c r="J114" s="11">
        <v>46243.445138888892</v>
      </c>
      <c r="K114" s="5" t="s">
        <v>62</v>
      </c>
      <c r="L114" s="5" t="s">
        <v>349</v>
      </c>
    </row>
    <row r="115" spans="1:12">
      <c r="A115" s="5" t="s">
        <v>228</v>
      </c>
      <c r="B115" s="5" t="s">
        <v>238</v>
      </c>
      <c r="C115" s="5" t="s">
        <v>229</v>
      </c>
      <c r="D115" s="5" t="s">
        <v>350</v>
      </c>
      <c r="E115" s="6" t="b">
        <v>1</v>
      </c>
      <c r="F115" s="5" t="s">
        <v>341</v>
      </c>
      <c r="G115" s="5" t="s">
        <v>58</v>
      </c>
      <c r="H115" s="5" t="s">
        <v>351</v>
      </c>
      <c r="I115" s="11">
        <v>46242.25</v>
      </c>
      <c r="J115" s="11">
        <v>46243.445138888892</v>
      </c>
      <c r="K115" s="5" t="s">
        <v>62</v>
      </c>
      <c r="L115" s="5" t="s">
        <v>352</v>
      </c>
    </row>
    <row r="116" spans="1:12">
      <c r="A116" s="5" t="s">
        <v>228</v>
      </c>
      <c r="B116" s="5" t="s">
        <v>238</v>
      </c>
      <c r="C116" s="5" t="s">
        <v>229</v>
      </c>
      <c r="D116" s="5" t="s">
        <v>353</v>
      </c>
      <c r="E116" s="5" t="s">
        <v>140</v>
      </c>
      <c r="F116" s="5" t="s">
        <v>354</v>
      </c>
      <c r="G116" s="5" t="s">
        <v>58</v>
      </c>
      <c r="H116" s="5" t="s">
        <v>355</v>
      </c>
      <c r="I116" s="11">
        <v>46242.25</v>
      </c>
      <c r="J116" s="11">
        <v>46243.445138888892</v>
      </c>
      <c r="K116" s="5" t="s">
        <v>62</v>
      </c>
      <c r="L116" s="5" t="s">
        <v>356</v>
      </c>
    </row>
    <row r="117" spans="1:12">
      <c r="A117" s="5" t="s">
        <v>241</v>
      </c>
      <c r="B117" s="5" t="s">
        <v>252</v>
      </c>
      <c r="C117" s="5" t="s">
        <v>242</v>
      </c>
      <c r="D117" s="5" t="s">
        <v>331</v>
      </c>
      <c r="E117" s="5">
        <v>8.8000000000000007</v>
      </c>
      <c r="F117" s="5" t="s">
        <v>332</v>
      </c>
      <c r="G117" s="5" t="s">
        <v>58</v>
      </c>
      <c r="H117" s="5" t="s">
        <v>333</v>
      </c>
      <c r="I117" s="11">
        <v>46242.25</v>
      </c>
      <c r="J117" s="11">
        <v>46243.446527777778</v>
      </c>
      <c r="K117" s="5" t="s">
        <v>62</v>
      </c>
      <c r="L117" s="5" t="s">
        <v>334</v>
      </c>
    </row>
    <row r="118" spans="1:12">
      <c r="A118" s="5" t="s">
        <v>241</v>
      </c>
      <c r="B118" s="5" t="s">
        <v>252</v>
      </c>
      <c r="C118" s="5" t="s">
        <v>242</v>
      </c>
      <c r="D118" s="5" t="s">
        <v>335</v>
      </c>
      <c r="E118" s="5">
        <v>0.72</v>
      </c>
      <c r="F118" s="5" t="s">
        <v>332</v>
      </c>
      <c r="G118" s="5" t="s">
        <v>58</v>
      </c>
      <c r="H118" s="5" t="s">
        <v>336</v>
      </c>
      <c r="I118" s="11">
        <v>46242.25</v>
      </c>
      <c r="J118" s="11">
        <v>46243.446527777778</v>
      </c>
      <c r="K118" s="5" t="s">
        <v>62</v>
      </c>
      <c r="L118" s="5" t="s">
        <v>337</v>
      </c>
    </row>
    <row r="119" spans="1:12">
      <c r="A119" s="5" t="s">
        <v>241</v>
      </c>
      <c r="B119" s="5" t="s">
        <v>252</v>
      </c>
      <c r="C119" s="5" t="s">
        <v>242</v>
      </c>
      <c r="D119" s="5" t="s">
        <v>338</v>
      </c>
      <c r="E119" s="5">
        <v>0.97299999999999998</v>
      </c>
      <c r="F119" s="5" t="s">
        <v>332</v>
      </c>
      <c r="G119" s="5" t="s">
        <v>58</v>
      </c>
      <c r="H119" s="5" t="s">
        <v>336</v>
      </c>
      <c r="I119" s="11">
        <v>46242.25</v>
      </c>
      <c r="J119" s="11">
        <v>46243.446527777778</v>
      </c>
      <c r="K119" s="5" t="s">
        <v>62</v>
      </c>
      <c r="L119" s="5" t="s">
        <v>339</v>
      </c>
    </row>
    <row r="120" spans="1:12">
      <c r="A120" s="5" t="s">
        <v>241</v>
      </c>
      <c r="B120" s="5" t="s">
        <v>252</v>
      </c>
      <c r="C120" s="5" t="s">
        <v>242</v>
      </c>
      <c r="D120" s="5" t="s">
        <v>340</v>
      </c>
      <c r="E120" s="6" t="b">
        <v>0</v>
      </c>
      <c r="F120" s="5" t="s">
        <v>341</v>
      </c>
      <c r="G120" s="5" t="s">
        <v>58</v>
      </c>
      <c r="H120" s="5" t="s">
        <v>342</v>
      </c>
      <c r="I120" s="11">
        <v>46242.25</v>
      </c>
      <c r="J120" s="11">
        <v>46243.446527777778</v>
      </c>
      <c r="K120" s="5" t="s">
        <v>62</v>
      </c>
      <c r="L120" s="5" t="s">
        <v>343</v>
      </c>
    </row>
    <row r="121" spans="1:12">
      <c r="A121" s="5" t="s">
        <v>241</v>
      </c>
      <c r="B121" s="5" t="s">
        <v>252</v>
      </c>
      <c r="C121" s="5" t="s">
        <v>242</v>
      </c>
      <c r="D121" s="5" t="s">
        <v>344</v>
      </c>
      <c r="E121" s="6" t="b">
        <v>0</v>
      </c>
      <c r="F121" s="5" t="s">
        <v>341</v>
      </c>
      <c r="G121" s="5" t="s">
        <v>58</v>
      </c>
      <c r="H121" s="5" t="s">
        <v>345</v>
      </c>
      <c r="I121" s="11">
        <v>46242.25</v>
      </c>
      <c r="J121" s="11">
        <v>46243.446527777778</v>
      </c>
      <c r="K121" s="5" t="s">
        <v>62</v>
      </c>
      <c r="L121" s="5" t="s">
        <v>346</v>
      </c>
    </row>
    <row r="122" spans="1:12">
      <c r="A122" s="5" t="s">
        <v>241</v>
      </c>
      <c r="B122" s="5" t="s">
        <v>252</v>
      </c>
      <c r="C122" s="5" t="s">
        <v>242</v>
      </c>
      <c r="D122" s="5" t="s">
        <v>347</v>
      </c>
      <c r="E122" s="6" t="b">
        <v>1</v>
      </c>
      <c r="F122" s="5" t="s">
        <v>341</v>
      </c>
      <c r="G122" s="5" t="s">
        <v>58</v>
      </c>
      <c r="H122" s="5" t="s">
        <v>348</v>
      </c>
      <c r="I122" s="11">
        <v>46242.25</v>
      </c>
      <c r="J122" s="11">
        <v>46243.446527777778</v>
      </c>
      <c r="K122" s="5" t="s">
        <v>62</v>
      </c>
      <c r="L122" s="5" t="s">
        <v>349</v>
      </c>
    </row>
    <row r="123" spans="1:12">
      <c r="A123" s="5" t="s">
        <v>241</v>
      </c>
      <c r="B123" s="5" t="s">
        <v>252</v>
      </c>
      <c r="C123" s="5" t="s">
        <v>242</v>
      </c>
      <c r="D123" s="5" t="s">
        <v>350</v>
      </c>
      <c r="E123" s="6" t="b">
        <v>1</v>
      </c>
      <c r="F123" s="5" t="s">
        <v>341</v>
      </c>
      <c r="G123" s="5" t="s">
        <v>58</v>
      </c>
      <c r="H123" s="5" t="s">
        <v>351</v>
      </c>
      <c r="I123" s="11">
        <v>46242.25</v>
      </c>
      <c r="J123" s="11">
        <v>46243.446527777778</v>
      </c>
      <c r="K123" s="5" t="s">
        <v>62</v>
      </c>
      <c r="L123" s="5" t="s">
        <v>352</v>
      </c>
    </row>
    <row r="124" spans="1:12">
      <c r="A124" s="5" t="s">
        <v>241</v>
      </c>
      <c r="B124" s="5" t="s">
        <v>252</v>
      </c>
      <c r="C124" s="5" t="s">
        <v>242</v>
      </c>
      <c r="D124" s="5" t="s">
        <v>353</v>
      </c>
      <c r="E124" s="5" t="s">
        <v>62</v>
      </c>
      <c r="F124" s="5" t="s">
        <v>354</v>
      </c>
      <c r="G124" s="5" t="s">
        <v>58</v>
      </c>
      <c r="H124" s="5" t="s">
        <v>355</v>
      </c>
      <c r="I124" s="11">
        <v>46242.25</v>
      </c>
      <c r="J124" s="11">
        <v>46243.446527777778</v>
      </c>
      <c r="K124" s="5" t="s">
        <v>62</v>
      </c>
      <c r="L124" s="5" t="s">
        <v>356</v>
      </c>
    </row>
    <row r="125" spans="1:12">
      <c r="A125" s="5" t="s">
        <v>255</v>
      </c>
      <c r="B125" s="5" t="s">
        <v>267</v>
      </c>
      <c r="C125" s="5" t="s">
        <v>256</v>
      </c>
      <c r="D125" s="5" t="s">
        <v>331</v>
      </c>
      <c r="E125" s="5">
        <v>9.8000000000000007</v>
      </c>
      <c r="F125" s="5" t="s">
        <v>332</v>
      </c>
      <c r="G125" s="5" t="s">
        <v>58</v>
      </c>
      <c r="H125" s="5" t="s">
        <v>333</v>
      </c>
      <c r="I125" s="11">
        <v>46242.25</v>
      </c>
      <c r="J125" s="11">
        <v>46243.447916666664</v>
      </c>
      <c r="K125" s="5" t="s">
        <v>183</v>
      </c>
      <c r="L125" s="5" t="s">
        <v>334</v>
      </c>
    </row>
    <row r="126" spans="1:12">
      <c r="A126" s="5" t="s">
        <v>255</v>
      </c>
      <c r="B126" s="5" t="s">
        <v>267</v>
      </c>
      <c r="C126" s="5" t="s">
        <v>256</v>
      </c>
      <c r="D126" s="5" t="s">
        <v>335</v>
      </c>
      <c r="E126" s="5">
        <v>0.97</v>
      </c>
      <c r="F126" s="5" t="s">
        <v>332</v>
      </c>
      <c r="G126" s="5" t="s">
        <v>58</v>
      </c>
      <c r="H126" s="5" t="s">
        <v>336</v>
      </c>
      <c r="I126" s="11">
        <v>46242.25</v>
      </c>
      <c r="J126" s="11">
        <v>46243.447916666664</v>
      </c>
      <c r="K126" s="5" t="s">
        <v>183</v>
      </c>
      <c r="L126" s="5" t="s">
        <v>337</v>
      </c>
    </row>
    <row r="127" spans="1:12">
      <c r="A127" s="5" t="s">
        <v>255</v>
      </c>
      <c r="B127" s="5" t="s">
        <v>267</v>
      </c>
      <c r="C127" s="5" t="s">
        <v>256</v>
      </c>
      <c r="D127" s="5" t="s">
        <v>338</v>
      </c>
      <c r="E127" s="5">
        <v>0.999</v>
      </c>
      <c r="F127" s="5" t="s">
        <v>332</v>
      </c>
      <c r="G127" s="5" t="s">
        <v>58</v>
      </c>
      <c r="H127" s="5" t="s">
        <v>336</v>
      </c>
      <c r="I127" s="11">
        <v>46242.25</v>
      </c>
      <c r="J127" s="11">
        <v>46243.447916666664</v>
      </c>
      <c r="K127" s="5" t="s">
        <v>183</v>
      </c>
      <c r="L127" s="5" t="s">
        <v>339</v>
      </c>
    </row>
    <row r="128" spans="1:12">
      <c r="A128" s="5" t="s">
        <v>255</v>
      </c>
      <c r="B128" s="5" t="s">
        <v>267</v>
      </c>
      <c r="C128" s="5" t="s">
        <v>256</v>
      </c>
      <c r="D128" s="5" t="s">
        <v>340</v>
      </c>
      <c r="E128" s="6" t="b">
        <v>0</v>
      </c>
      <c r="F128" s="5" t="s">
        <v>341</v>
      </c>
      <c r="G128" s="5" t="s">
        <v>58</v>
      </c>
      <c r="H128" s="5" t="s">
        <v>342</v>
      </c>
      <c r="I128" s="11">
        <v>46242.25</v>
      </c>
      <c r="J128" s="11">
        <v>46243.447916666664</v>
      </c>
      <c r="K128" s="5" t="s">
        <v>183</v>
      </c>
      <c r="L128" s="5" t="s">
        <v>343</v>
      </c>
    </row>
    <row r="129" spans="1:12">
      <c r="A129" s="5" t="s">
        <v>255</v>
      </c>
      <c r="B129" s="5" t="s">
        <v>267</v>
      </c>
      <c r="C129" s="5" t="s">
        <v>256</v>
      </c>
      <c r="D129" s="5" t="s">
        <v>344</v>
      </c>
      <c r="E129" s="6" t="b">
        <v>1</v>
      </c>
      <c r="F129" s="5" t="s">
        <v>341</v>
      </c>
      <c r="G129" s="5" t="s">
        <v>58</v>
      </c>
      <c r="H129" s="5" t="s">
        <v>345</v>
      </c>
      <c r="I129" s="11">
        <v>46242.25</v>
      </c>
      <c r="J129" s="11">
        <v>46243.447916666664</v>
      </c>
      <c r="K129" s="5" t="s">
        <v>183</v>
      </c>
      <c r="L129" s="5" t="s">
        <v>346</v>
      </c>
    </row>
    <row r="130" spans="1:12">
      <c r="A130" s="5" t="s">
        <v>255</v>
      </c>
      <c r="B130" s="5" t="s">
        <v>267</v>
      </c>
      <c r="C130" s="5" t="s">
        <v>256</v>
      </c>
      <c r="D130" s="5" t="s">
        <v>347</v>
      </c>
      <c r="E130" s="6" t="b">
        <v>1</v>
      </c>
      <c r="F130" s="5" t="s">
        <v>341</v>
      </c>
      <c r="G130" s="5" t="s">
        <v>58</v>
      </c>
      <c r="H130" s="5" t="s">
        <v>348</v>
      </c>
      <c r="I130" s="11">
        <v>46242.25</v>
      </c>
      <c r="J130" s="11">
        <v>46243.447916666664</v>
      </c>
      <c r="K130" s="5" t="s">
        <v>183</v>
      </c>
      <c r="L130" s="5" t="s">
        <v>349</v>
      </c>
    </row>
    <row r="131" spans="1:12">
      <c r="A131" s="5" t="s">
        <v>255</v>
      </c>
      <c r="B131" s="5" t="s">
        <v>267</v>
      </c>
      <c r="C131" s="5" t="s">
        <v>256</v>
      </c>
      <c r="D131" s="5" t="s">
        <v>350</v>
      </c>
      <c r="E131" s="5"/>
      <c r="F131" s="5" t="s">
        <v>341</v>
      </c>
      <c r="G131" s="5" t="s">
        <v>264</v>
      </c>
      <c r="H131" s="5" t="s">
        <v>359</v>
      </c>
      <c r="I131" s="11"/>
      <c r="J131" s="11">
        <v>46243.447916666664</v>
      </c>
      <c r="K131" s="5" t="s">
        <v>183</v>
      </c>
      <c r="L131" s="5" t="s">
        <v>352</v>
      </c>
    </row>
    <row r="132" spans="1:12">
      <c r="A132" s="5" t="s">
        <v>255</v>
      </c>
      <c r="B132" s="5" t="s">
        <v>267</v>
      </c>
      <c r="C132" s="5" t="s">
        <v>256</v>
      </c>
      <c r="D132" s="5" t="s">
        <v>353</v>
      </c>
      <c r="E132" s="5" t="s">
        <v>59</v>
      </c>
      <c r="F132" s="5" t="s">
        <v>354</v>
      </c>
      <c r="G132" s="5" t="s">
        <v>58</v>
      </c>
      <c r="H132" s="5" t="s">
        <v>355</v>
      </c>
      <c r="I132" s="11">
        <v>46242.25</v>
      </c>
      <c r="J132" s="11">
        <v>46243.447916666664</v>
      </c>
      <c r="K132" s="5" t="s">
        <v>183</v>
      </c>
      <c r="L132" s="5" t="s">
        <v>356</v>
      </c>
    </row>
    <row r="133" spans="1:12">
      <c r="A133" s="5" t="s">
        <v>270</v>
      </c>
      <c r="B133" s="5" t="s">
        <v>280</v>
      </c>
      <c r="C133" s="5" t="s">
        <v>271</v>
      </c>
      <c r="D133" s="5" t="s">
        <v>331</v>
      </c>
      <c r="E133" s="5">
        <v>9.8000000000000007</v>
      </c>
      <c r="F133" s="5" t="s">
        <v>332</v>
      </c>
      <c r="G133" s="5" t="s">
        <v>58</v>
      </c>
      <c r="H133" s="5" t="s">
        <v>333</v>
      </c>
      <c r="I133" s="11">
        <v>46242.25</v>
      </c>
      <c r="J133" s="11">
        <v>46243.449305555558</v>
      </c>
      <c r="K133" s="5" t="s">
        <v>62</v>
      </c>
      <c r="L133" s="5" t="s">
        <v>334</v>
      </c>
    </row>
    <row r="134" spans="1:12">
      <c r="A134" s="5" t="s">
        <v>270</v>
      </c>
      <c r="B134" s="5" t="s">
        <v>280</v>
      </c>
      <c r="C134" s="5" t="s">
        <v>271</v>
      </c>
      <c r="D134" s="5" t="s">
        <v>335</v>
      </c>
      <c r="E134" s="5">
        <v>0.88</v>
      </c>
      <c r="F134" s="5" t="s">
        <v>332</v>
      </c>
      <c r="G134" s="5" t="s">
        <v>58</v>
      </c>
      <c r="H134" s="5" t="s">
        <v>336</v>
      </c>
      <c r="I134" s="11">
        <v>46242.25</v>
      </c>
      <c r="J134" s="11">
        <v>46243.449305555558</v>
      </c>
      <c r="K134" s="5" t="s">
        <v>62</v>
      </c>
      <c r="L134" s="5" t="s">
        <v>337</v>
      </c>
    </row>
    <row r="135" spans="1:12">
      <c r="A135" s="5" t="s">
        <v>270</v>
      </c>
      <c r="B135" s="5" t="s">
        <v>280</v>
      </c>
      <c r="C135" s="5" t="s">
        <v>271</v>
      </c>
      <c r="D135" s="5" t="s">
        <v>338</v>
      </c>
      <c r="E135" s="5">
        <v>0.98899999999999999</v>
      </c>
      <c r="F135" s="5" t="s">
        <v>332</v>
      </c>
      <c r="G135" s="5" t="s">
        <v>58</v>
      </c>
      <c r="H135" s="5" t="s">
        <v>336</v>
      </c>
      <c r="I135" s="11">
        <v>46242.25</v>
      </c>
      <c r="J135" s="11">
        <v>46243.449305555558</v>
      </c>
      <c r="K135" s="5" t="s">
        <v>62</v>
      </c>
      <c r="L135" s="5" t="s">
        <v>339</v>
      </c>
    </row>
    <row r="136" spans="1:12">
      <c r="A136" s="5" t="s">
        <v>270</v>
      </c>
      <c r="B136" s="5" t="s">
        <v>280</v>
      </c>
      <c r="C136" s="5" t="s">
        <v>271</v>
      </c>
      <c r="D136" s="5" t="s">
        <v>340</v>
      </c>
      <c r="E136" s="6" t="b">
        <v>1</v>
      </c>
      <c r="F136" s="5" t="s">
        <v>341</v>
      </c>
      <c r="G136" s="5" t="s">
        <v>58</v>
      </c>
      <c r="H136" s="5" t="s">
        <v>342</v>
      </c>
      <c r="I136" s="11">
        <v>46242.25</v>
      </c>
      <c r="J136" s="11">
        <v>46243.449305555558</v>
      </c>
      <c r="K136" s="5" t="s">
        <v>62</v>
      </c>
      <c r="L136" s="5" t="s">
        <v>343</v>
      </c>
    </row>
    <row r="137" spans="1:12">
      <c r="A137" s="5" t="s">
        <v>270</v>
      </c>
      <c r="B137" s="5" t="s">
        <v>280</v>
      </c>
      <c r="C137" s="5" t="s">
        <v>271</v>
      </c>
      <c r="D137" s="5" t="s">
        <v>344</v>
      </c>
      <c r="E137" s="6" t="b">
        <v>1</v>
      </c>
      <c r="F137" s="5" t="s">
        <v>341</v>
      </c>
      <c r="G137" s="5" t="s">
        <v>58</v>
      </c>
      <c r="H137" s="5" t="s">
        <v>345</v>
      </c>
      <c r="I137" s="11">
        <v>46242.25</v>
      </c>
      <c r="J137" s="11">
        <v>46243.449305555558</v>
      </c>
      <c r="K137" s="5" t="s">
        <v>62</v>
      </c>
      <c r="L137" s="5" t="s">
        <v>346</v>
      </c>
    </row>
    <row r="138" spans="1:12">
      <c r="A138" s="5" t="s">
        <v>270</v>
      </c>
      <c r="B138" s="5" t="s">
        <v>280</v>
      </c>
      <c r="C138" s="5" t="s">
        <v>271</v>
      </c>
      <c r="D138" s="5" t="s">
        <v>347</v>
      </c>
      <c r="E138" s="6" t="b">
        <v>1</v>
      </c>
      <c r="F138" s="5" t="s">
        <v>341</v>
      </c>
      <c r="G138" s="5" t="s">
        <v>58</v>
      </c>
      <c r="H138" s="5" t="s">
        <v>348</v>
      </c>
      <c r="I138" s="11">
        <v>46242.25</v>
      </c>
      <c r="J138" s="11">
        <v>46243.449305555558</v>
      </c>
      <c r="K138" s="5" t="s">
        <v>62</v>
      </c>
      <c r="L138" s="5" t="s">
        <v>349</v>
      </c>
    </row>
    <row r="139" spans="1:12">
      <c r="A139" s="5" t="s">
        <v>270</v>
      </c>
      <c r="B139" s="5" t="s">
        <v>280</v>
      </c>
      <c r="C139" s="5" t="s">
        <v>271</v>
      </c>
      <c r="D139" s="5" t="s">
        <v>350</v>
      </c>
      <c r="E139" s="6" t="b">
        <v>1</v>
      </c>
      <c r="F139" s="5" t="s">
        <v>341</v>
      </c>
      <c r="G139" s="5" t="s">
        <v>58</v>
      </c>
      <c r="H139" s="5" t="s">
        <v>351</v>
      </c>
      <c r="I139" s="11">
        <v>46242.25</v>
      </c>
      <c r="J139" s="11">
        <v>46243.449305555558</v>
      </c>
      <c r="K139" s="5" t="s">
        <v>62</v>
      </c>
      <c r="L139" s="5" t="s">
        <v>352</v>
      </c>
    </row>
    <row r="140" spans="1:12">
      <c r="A140" s="5" t="s">
        <v>270</v>
      </c>
      <c r="B140" s="5" t="s">
        <v>280</v>
      </c>
      <c r="C140" s="5" t="s">
        <v>271</v>
      </c>
      <c r="D140" s="5" t="s">
        <v>353</v>
      </c>
      <c r="E140" s="5" t="s">
        <v>59</v>
      </c>
      <c r="F140" s="5" t="s">
        <v>354</v>
      </c>
      <c r="G140" s="5" t="s">
        <v>58</v>
      </c>
      <c r="H140" s="5" t="s">
        <v>355</v>
      </c>
      <c r="I140" s="11">
        <v>46242.25</v>
      </c>
      <c r="J140" s="11">
        <v>46243.449305555558</v>
      </c>
      <c r="K140" s="5" t="s">
        <v>62</v>
      </c>
      <c r="L140" s="5" t="s">
        <v>356</v>
      </c>
    </row>
    <row r="141" spans="1:12">
      <c r="A141" s="5" t="s">
        <v>282</v>
      </c>
      <c r="B141" s="5" t="s">
        <v>292</v>
      </c>
      <c r="C141" s="5" t="s">
        <v>283</v>
      </c>
      <c r="D141" s="5" t="s">
        <v>331</v>
      </c>
      <c r="E141" s="5">
        <v>8</v>
      </c>
      <c r="F141" s="5" t="s">
        <v>332</v>
      </c>
      <c r="G141" s="5" t="s">
        <v>58</v>
      </c>
      <c r="H141" s="5" t="s">
        <v>333</v>
      </c>
      <c r="I141" s="11">
        <v>46242.25</v>
      </c>
      <c r="J141" s="11">
        <v>46243.450694444444</v>
      </c>
      <c r="K141" s="5" t="s">
        <v>62</v>
      </c>
      <c r="L141" s="5" t="s">
        <v>334</v>
      </c>
    </row>
    <row r="142" spans="1:12">
      <c r="A142" s="5" t="s">
        <v>282</v>
      </c>
      <c r="B142" s="5" t="s">
        <v>292</v>
      </c>
      <c r="C142" s="5" t="s">
        <v>283</v>
      </c>
      <c r="D142" s="5" t="s">
        <v>335</v>
      </c>
      <c r="E142" s="5">
        <v>0.22</v>
      </c>
      <c r="F142" s="5" t="s">
        <v>332</v>
      </c>
      <c r="G142" s="5" t="s">
        <v>58</v>
      </c>
      <c r="H142" s="5" t="s">
        <v>336</v>
      </c>
      <c r="I142" s="11">
        <v>46242.25</v>
      </c>
      <c r="J142" s="11">
        <v>46243.450694444444</v>
      </c>
      <c r="K142" s="5" t="s">
        <v>62</v>
      </c>
      <c r="L142" s="5" t="s">
        <v>337</v>
      </c>
    </row>
    <row r="143" spans="1:12">
      <c r="A143" s="5" t="s">
        <v>282</v>
      </c>
      <c r="B143" s="5" t="s">
        <v>292</v>
      </c>
      <c r="C143" s="5" t="s">
        <v>283</v>
      </c>
      <c r="D143" s="5" t="s">
        <v>338</v>
      </c>
      <c r="E143" s="5">
        <v>0.78</v>
      </c>
      <c r="F143" s="5" t="s">
        <v>332</v>
      </c>
      <c r="G143" s="5" t="s">
        <v>58</v>
      </c>
      <c r="H143" s="5" t="s">
        <v>336</v>
      </c>
      <c r="I143" s="11">
        <v>46242.25</v>
      </c>
      <c r="J143" s="11">
        <v>46243.450694444444</v>
      </c>
      <c r="K143" s="5" t="s">
        <v>62</v>
      </c>
      <c r="L143" s="5" t="s">
        <v>339</v>
      </c>
    </row>
    <row r="144" spans="1:12">
      <c r="A144" s="5" t="s">
        <v>282</v>
      </c>
      <c r="B144" s="5" t="s">
        <v>292</v>
      </c>
      <c r="C144" s="5" t="s">
        <v>283</v>
      </c>
      <c r="D144" s="5" t="s">
        <v>340</v>
      </c>
      <c r="E144" s="6" t="b">
        <v>0</v>
      </c>
      <c r="F144" s="5" t="s">
        <v>341</v>
      </c>
      <c r="G144" s="5" t="s">
        <v>58</v>
      </c>
      <c r="H144" s="5" t="s">
        <v>342</v>
      </c>
      <c r="I144" s="11">
        <v>46242.25</v>
      </c>
      <c r="J144" s="11">
        <v>46243.450694444444</v>
      </c>
      <c r="K144" s="5" t="s">
        <v>62</v>
      </c>
      <c r="L144" s="5" t="s">
        <v>343</v>
      </c>
    </row>
    <row r="145" spans="1:12">
      <c r="A145" s="5" t="s">
        <v>282</v>
      </c>
      <c r="B145" s="5" t="s">
        <v>292</v>
      </c>
      <c r="C145" s="5" t="s">
        <v>283</v>
      </c>
      <c r="D145" s="5" t="s">
        <v>344</v>
      </c>
      <c r="E145" s="6" t="b">
        <v>0</v>
      </c>
      <c r="F145" s="5" t="s">
        <v>341</v>
      </c>
      <c r="G145" s="5" t="s">
        <v>58</v>
      </c>
      <c r="H145" s="5" t="s">
        <v>345</v>
      </c>
      <c r="I145" s="11">
        <v>46242.25</v>
      </c>
      <c r="J145" s="11">
        <v>46243.450694444444</v>
      </c>
      <c r="K145" s="5" t="s">
        <v>62</v>
      </c>
      <c r="L145" s="5" t="s">
        <v>346</v>
      </c>
    </row>
    <row r="146" spans="1:12">
      <c r="A146" s="5" t="s">
        <v>282</v>
      </c>
      <c r="B146" s="5" t="s">
        <v>292</v>
      </c>
      <c r="C146" s="5" t="s">
        <v>283</v>
      </c>
      <c r="D146" s="5" t="s">
        <v>347</v>
      </c>
      <c r="E146" s="6" t="b">
        <v>1</v>
      </c>
      <c r="F146" s="5" t="s">
        <v>341</v>
      </c>
      <c r="G146" s="5" t="s">
        <v>58</v>
      </c>
      <c r="H146" s="5" t="s">
        <v>348</v>
      </c>
      <c r="I146" s="11">
        <v>46242.25</v>
      </c>
      <c r="J146" s="11">
        <v>46243.450694444444</v>
      </c>
      <c r="K146" s="5" t="s">
        <v>62</v>
      </c>
      <c r="L146" s="5" t="s">
        <v>349</v>
      </c>
    </row>
    <row r="147" spans="1:12">
      <c r="A147" s="5" t="s">
        <v>282</v>
      </c>
      <c r="B147" s="5" t="s">
        <v>292</v>
      </c>
      <c r="C147" s="5" t="s">
        <v>283</v>
      </c>
      <c r="D147" s="5" t="s">
        <v>350</v>
      </c>
      <c r="E147" s="6" t="b">
        <v>0</v>
      </c>
      <c r="F147" s="5" t="s">
        <v>341</v>
      </c>
      <c r="G147" s="5" t="s">
        <v>58</v>
      </c>
      <c r="H147" s="5" t="s">
        <v>351</v>
      </c>
      <c r="I147" s="11">
        <v>46242.25</v>
      </c>
      <c r="J147" s="11">
        <v>46243.450694444444</v>
      </c>
      <c r="K147" s="5" t="s">
        <v>62</v>
      </c>
      <c r="L147" s="5" t="s">
        <v>352</v>
      </c>
    </row>
    <row r="148" spans="1:12">
      <c r="A148" s="5" t="s">
        <v>282</v>
      </c>
      <c r="B148" s="5" t="s">
        <v>292</v>
      </c>
      <c r="C148" s="5" t="s">
        <v>283</v>
      </c>
      <c r="D148" s="5" t="s">
        <v>353</v>
      </c>
      <c r="E148" s="5" t="s">
        <v>140</v>
      </c>
      <c r="F148" s="5" t="s">
        <v>354</v>
      </c>
      <c r="G148" s="5" t="s">
        <v>58</v>
      </c>
      <c r="H148" s="5" t="s">
        <v>355</v>
      </c>
      <c r="I148" s="11">
        <v>46242.25</v>
      </c>
      <c r="J148" s="11">
        <v>46243.450694444444</v>
      </c>
      <c r="K148" s="5" t="s">
        <v>62</v>
      </c>
      <c r="L148" s="5" t="s">
        <v>356</v>
      </c>
    </row>
    <row r="149" spans="1:12">
      <c r="A149" s="5" t="s">
        <v>295</v>
      </c>
      <c r="B149" s="5" t="s">
        <v>305</v>
      </c>
      <c r="C149" s="5" t="s">
        <v>296</v>
      </c>
      <c r="D149" s="5" t="s">
        <v>331</v>
      </c>
      <c r="E149" s="5">
        <v>9.8000000000000007</v>
      </c>
      <c r="F149" s="5" t="s">
        <v>332</v>
      </c>
      <c r="G149" s="5" t="s">
        <v>58</v>
      </c>
      <c r="H149" s="5" t="s">
        <v>333</v>
      </c>
      <c r="I149" s="11">
        <v>46242.25</v>
      </c>
      <c r="J149" s="11">
        <v>46243.45208333333</v>
      </c>
      <c r="K149" s="5" t="s">
        <v>62</v>
      </c>
      <c r="L149" s="5" t="s">
        <v>334</v>
      </c>
    </row>
    <row r="150" spans="1:12">
      <c r="A150" s="5" t="s">
        <v>295</v>
      </c>
      <c r="B150" s="5" t="s">
        <v>305</v>
      </c>
      <c r="C150" s="5" t="s">
        <v>296</v>
      </c>
      <c r="D150" s="5" t="s">
        <v>335</v>
      </c>
      <c r="E150" s="5">
        <v>0.82</v>
      </c>
      <c r="F150" s="5" t="s">
        <v>332</v>
      </c>
      <c r="G150" s="5" t="s">
        <v>58</v>
      </c>
      <c r="H150" s="5" t="s">
        <v>336</v>
      </c>
      <c r="I150" s="11">
        <v>46242.25</v>
      </c>
      <c r="J150" s="11">
        <v>46243.45208333333</v>
      </c>
      <c r="K150" s="5" t="s">
        <v>62</v>
      </c>
      <c r="L150" s="5" t="s">
        <v>337</v>
      </c>
    </row>
    <row r="151" spans="1:12">
      <c r="A151" s="5" t="s">
        <v>295</v>
      </c>
      <c r="B151" s="5" t="s">
        <v>305</v>
      </c>
      <c r="C151" s="5" t="s">
        <v>296</v>
      </c>
      <c r="D151" s="5" t="s">
        <v>338</v>
      </c>
      <c r="E151" s="5">
        <v>0.98399999999999999</v>
      </c>
      <c r="F151" s="5" t="s">
        <v>332</v>
      </c>
      <c r="G151" s="5" t="s">
        <v>58</v>
      </c>
      <c r="H151" s="5" t="s">
        <v>336</v>
      </c>
      <c r="I151" s="11">
        <v>46242.25</v>
      </c>
      <c r="J151" s="11">
        <v>46243.45208333333</v>
      </c>
      <c r="K151" s="5" t="s">
        <v>62</v>
      </c>
      <c r="L151" s="5" t="s">
        <v>339</v>
      </c>
    </row>
    <row r="152" spans="1:12">
      <c r="A152" s="5" t="s">
        <v>295</v>
      </c>
      <c r="B152" s="5" t="s">
        <v>305</v>
      </c>
      <c r="C152" s="5" t="s">
        <v>296</v>
      </c>
      <c r="D152" s="5" t="s">
        <v>340</v>
      </c>
      <c r="E152" s="6" t="b">
        <v>0</v>
      </c>
      <c r="F152" s="5" t="s">
        <v>341</v>
      </c>
      <c r="G152" s="5" t="s">
        <v>58</v>
      </c>
      <c r="H152" s="5" t="s">
        <v>342</v>
      </c>
      <c r="I152" s="11">
        <v>46242.25</v>
      </c>
      <c r="J152" s="11">
        <v>46243.45208333333</v>
      </c>
      <c r="K152" s="5" t="s">
        <v>62</v>
      </c>
      <c r="L152" s="5" t="s">
        <v>343</v>
      </c>
    </row>
    <row r="153" spans="1:12">
      <c r="A153" s="5" t="s">
        <v>295</v>
      </c>
      <c r="B153" s="5" t="s">
        <v>305</v>
      </c>
      <c r="C153" s="5" t="s">
        <v>296</v>
      </c>
      <c r="D153" s="5" t="s">
        <v>344</v>
      </c>
      <c r="E153" s="6" t="b">
        <v>1</v>
      </c>
      <c r="F153" s="5" t="s">
        <v>341</v>
      </c>
      <c r="G153" s="5" t="s">
        <v>58</v>
      </c>
      <c r="H153" s="5" t="s">
        <v>345</v>
      </c>
      <c r="I153" s="11">
        <v>46242.25</v>
      </c>
      <c r="J153" s="11">
        <v>46243.45208333333</v>
      </c>
      <c r="K153" s="5" t="s">
        <v>62</v>
      </c>
      <c r="L153" s="5" t="s">
        <v>346</v>
      </c>
    </row>
    <row r="154" spans="1:12">
      <c r="A154" s="5" t="s">
        <v>295</v>
      </c>
      <c r="B154" s="5" t="s">
        <v>305</v>
      </c>
      <c r="C154" s="5" t="s">
        <v>296</v>
      </c>
      <c r="D154" s="5" t="s">
        <v>347</v>
      </c>
      <c r="E154" s="6" t="b">
        <v>1</v>
      </c>
      <c r="F154" s="5" t="s">
        <v>341</v>
      </c>
      <c r="G154" s="5" t="s">
        <v>58</v>
      </c>
      <c r="H154" s="5" t="s">
        <v>348</v>
      </c>
      <c r="I154" s="11">
        <v>46242.25</v>
      </c>
      <c r="J154" s="11">
        <v>46243.45208333333</v>
      </c>
      <c r="K154" s="5" t="s">
        <v>62</v>
      </c>
      <c r="L154" s="5" t="s">
        <v>349</v>
      </c>
    </row>
    <row r="155" spans="1:12">
      <c r="A155" s="5" t="s">
        <v>295</v>
      </c>
      <c r="B155" s="5" t="s">
        <v>305</v>
      </c>
      <c r="C155" s="5" t="s">
        <v>296</v>
      </c>
      <c r="D155" s="5" t="s">
        <v>350</v>
      </c>
      <c r="E155" s="6" t="b">
        <v>1</v>
      </c>
      <c r="F155" s="5" t="s">
        <v>341</v>
      </c>
      <c r="G155" s="5" t="s">
        <v>58</v>
      </c>
      <c r="H155" s="5" t="s">
        <v>351</v>
      </c>
      <c r="I155" s="11">
        <v>46242.25</v>
      </c>
      <c r="J155" s="11">
        <v>46243.45208333333</v>
      </c>
      <c r="K155" s="5" t="s">
        <v>62</v>
      </c>
      <c r="L155" s="5" t="s">
        <v>352</v>
      </c>
    </row>
    <row r="156" spans="1:12">
      <c r="A156" s="5" t="s">
        <v>295</v>
      </c>
      <c r="B156" s="5" t="s">
        <v>305</v>
      </c>
      <c r="C156" s="5" t="s">
        <v>296</v>
      </c>
      <c r="D156" s="5" t="s">
        <v>353</v>
      </c>
      <c r="E156" s="5" t="s">
        <v>59</v>
      </c>
      <c r="F156" s="5" t="s">
        <v>354</v>
      </c>
      <c r="G156" s="5" t="s">
        <v>58</v>
      </c>
      <c r="H156" s="5" t="s">
        <v>355</v>
      </c>
      <c r="I156" s="11">
        <v>46242.25</v>
      </c>
      <c r="J156" s="11">
        <v>46243.45208333333</v>
      </c>
      <c r="K156" s="5" t="s">
        <v>62</v>
      </c>
      <c r="L156" s="5" t="s">
        <v>356</v>
      </c>
    </row>
    <row r="157" spans="1:12">
      <c r="A157" s="5" t="s">
        <v>307</v>
      </c>
      <c r="B157" s="5" t="s">
        <v>318</v>
      </c>
      <c r="C157" s="5" t="s">
        <v>308</v>
      </c>
      <c r="D157" s="5" t="s">
        <v>331</v>
      </c>
      <c r="E157" s="5">
        <v>8.6</v>
      </c>
      <c r="F157" s="5" t="s">
        <v>332</v>
      </c>
      <c r="G157" s="5" t="s">
        <v>58</v>
      </c>
      <c r="H157" s="5" t="s">
        <v>333</v>
      </c>
      <c r="I157" s="11">
        <v>46242.25</v>
      </c>
      <c r="J157" s="11">
        <v>46243.453472222223</v>
      </c>
      <c r="K157" s="5" t="s">
        <v>183</v>
      </c>
      <c r="L157" s="5" t="s">
        <v>334</v>
      </c>
    </row>
    <row r="158" spans="1:12">
      <c r="A158" s="5" t="s">
        <v>307</v>
      </c>
      <c r="B158" s="5" t="s">
        <v>318</v>
      </c>
      <c r="C158" s="5" t="s">
        <v>308</v>
      </c>
      <c r="D158" s="5" t="s">
        <v>335</v>
      </c>
      <c r="E158" s="5">
        <v>0.59</v>
      </c>
      <c r="F158" s="5" t="s">
        <v>332</v>
      </c>
      <c r="G158" s="5" t="s">
        <v>58</v>
      </c>
      <c r="H158" s="5" t="s">
        <v>336</v>
      </c>
      <c r="I158" s="11">
        <v>46242.25</v>
      </c>
      <c r="J158" s="11">
        <v>46243.453472222223</v>
      </c>
      <c r="K158" s="5" t="s">
        <v>183</v>
      </c>
      <c r="L158" s="5" t="s">
        <v>337</v>
      </c>
    </row>
    <row r="159" spans="1:12">
      <c r="A159" s="5" t="s">
        <v>307</v>
      </c>
      <c r="B159" s="5" t="s">
        <v>318</v>
      </c>
      <c r="C159" s="5" t="s">
        <v>308</v>
      </c>
      <c r="D159" s="5" t="s">
        <v>338</v>
      </c>
      <c r="E159" s="5">
        <v>0.95</v>
      </c>
      <c r="F159" s="5" t="s">
        <v>332</v>
      </c>
      <c r="G159" s="5" t="s">
        <v>58</v>
      </c>
      <c r="H159" s="5" t="s">
        <v>336</v>
      </c>
      <c r="I159" s="11">
        <v>46242.25</v>
      </c>
      <c r="J159" s="11">
        <v>46243.453472222223</v>
      </c>
      <c r="K159" s="5" t="s">
        <v>183</v>
      </c>
      <c r="L159" s="5" t="s">
        <v>339</v>
      </c>
    </row>
    <row r="160" spans="1:12">
      <c r="A160" s="5" t="s">
        <v>307</v>
      </c>
      <c r="B160" s="5" t="s">
        <v>318</v>
      </c>
      <c r="C160" s="5" t="s">
        <v>308</v>
      </c>
      <c r="D160" s="5" t="s">
        <v>340</v>
      </c>
      <c r="E160" s="6" t="b">
        <v>0</v>
      </c>
      <c r="F160" s="5" t="s">
        <v>341</v>
      </c>
      <c r="G160" s="5" t="s">
        <v>58</v>
      </c>
      <c r="H160" s="5" t="s">
        <v>342</v>
      </c>
      <c r="I160" s="11">
        <v>46242.25</v>
      </c>
      <c r="J160" s="11">
        <v>46243.453472222223</v>
      </c>
      <c r="K160" s="5" t="s">
        <v>183</v>
      </c>
      <c r="L160" s="5" t="s">
        <v>343</v>
      </c>
    </row>
    <row r="161" spans="1:12">
      <c r="A161" s="5" t="s">
        <v>307</v>
      </c>
      <c r="B161" s="5" t="s">
        <v>318</v>
      </c>
      <c r="C161" s="5" t="s">
        <v>308</v>
      </c>
      <c r="D161" s="5" t="s">
        <v>344</v>
      </c>
      <c r="E161" s="6" t="b">
        <v>1</v>
      </c>
      <c r="F161" s="5" t="s">
        <v>341</v>
      </c>
      <c r="G161" s="5" t="s">
        <v>58</v>
      </c>
      <c r="H161" s="5" t="s">
        <v>345</v>
      </c>
      <c r="I161" s="11">
        <v>46242.25</v>
      </c>
      <c r="J161" s="11">
        <v>46243.453472222223</v>
      </c>
      <c r="K161" s="5" t="s">
        <v>183</v>
      </c>
      <c r="L161" s="5" t="s">
        <v>346</v>
      </c>
    </row>
    <row r="162" spans="1:12">
      <c r="A162" s="5" t="s">
        <v>307</v>
      </c>
      <c r="B162" s="5" t="s">
        <v>318</v>
      </c>
      <c r="C162" s="5" t="s">
        <v>308</v>
      </c>
      <c r="D162" s="5" t="s">
        <v>347</v>
      </c>
      <c r="E162" s="6" t="b">
        <v>1</v>
      </c>
      <c r="F162" s="5" t="s">
        <v>341</v>
      </c>
      <c r="G162" s="5" t="s">
        <v>58</v>
      </c>
      <c r="H162" s="5" t="s">
        <v>348</v>
      </c>
      <c r="I162" s="11">
        <v>46242.25</v>
      </c>
      <c r="J162" s="11">
        <v>46243.453472222223</v>
      </c>
      <c r="K162" s="5" t="s">
        <v>183</v>
      </c>
      <c r="L162" s="5" t="s">
        <v>349</v>
      </c>
    </row>
    <row r="163" spans="1:12">
      <c r="A163" s="5" t="s">
        <v>307</v>
      </c>
      <c r="B163" s="5" t="s">
        <v>318</v>
      </c>
      <c r="C163" s="5" t="s">
        <v>308</v>
      </c>
      <c r="D163" s="5" t="s">
        <v>350</v>
      </c>
      <c r="E163" s="6" t="b">
        <v>1</v>
      </c>
      <c r="F163" s="5" t="s">
        <v>341</v>
      </c>
      <c r="G163" s="5" t="s">
        <v>58</v>
      </c>
      <c r="H163" s="5" t="s">
        <v>351</v>
      </c>
      <c r="I163" s="11">
        <v>46242.25</v>
      </c>
      <c r="J163" s="11">
        <v>46243.453472222223</v>
      </c>
      <c r="K163" s="5" t="s">
        <v>183</v>
      </c>
      <c r="L163" s="5" t="s">
        <v>352</v>
      </c>
    </row>
    <row r="164" spans="1:12">
      <c r="A164" s="5" t="s">
        <v>307</v>
      </c>
      <c r="B164" s="5" t="s">
        <v>318</v>
      </c>
      <c r="C164" s="5" t="s">
        <v>308</v>
      </c>
      <c r="D164" s="5" t="s">
        <v>353</v>
      </c>
      <c r="E164" s="5" t="s">
        <v>62</v>
      </c>
      <c r="F164" s="5" t="s">
        <v>354</v>
      </c>
      <c r="G164" s="5" t="s">
        <v>264</v>
      </c>
      <c r="H164" s="5" t="s">
        <v>360</v>
      </c>
      <c r="I164" s="11"/>
      <c r="J164" s="11">
        <v>46243.453472222223</v>
      </c>
      <c r="K164" s="5" t="s">
        <v>183</v>
      </c>
      <c r="L164" s="5" t="s">
        <v>356</v>
      </c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"/>
  <sheetViews>
    <sheetView showGridLines="0" workbookViewId="0"/>
  </sheetViews>
  <sheetFormatPr defaultRowHeight="15"/>
  <cols>
    <col min="1" max="1" width="32" customWidth="1"/>
    <col min="2" max="2" width="16" customWidth="1"/>
    <col min="3" max="3" width="14" customWidth="1"/>
    <col min="4" max="4" width="42" customWidth="1"/>
    <col min="5" max="5" width="46" customWidth="1"/>
    <col min="6" max="6" width="24" customWidth="1"/>
  </cols>
  <sheetData>
    <row r="1" spans="1:6" ht="27.95" customHeight="1">
      <c r="A1" s="15" t="s">
        <v>361</v>
      </c>
      <c r="B1" s="17"/>
      <c r="C1" s="17"/>
      <c r="D1" s="17"/>
      <c r="E1" s="17"/>
      <c r="F1" s="17"/>
    </row>
    <row r="2" spans="1:6" ht="33.950000000000003" customHeight="1">
      <c r="A2" s="16" t="s">
        <v>362</v>
      </c>
      <c r="B2" s="17"/>
      <c r="C2" s="17"/>
      <c r="D2" s="17"/>
      <c r="E2" s="17"/>
      <c r="F2" s="17"/>
    </row>
    <row r="4" spans="1:6">
      <c r="A4" s="1" t="s">
        <v>363</v>
      </c>
      <c r="B4" s="1" t="s">
        <v>364</v>
      </c>
      <c r="C4" s="1" t="s">
        <v>365</v>
      </c>
      <c r="E4" s="1" t="s">
        <v>366</v>
      </c>
      <c r="F4" s="1" t="s">
        <v>324</v>
      </c>
    </row>
    <row r="5" spans="1:6">
      <c r="A5" t="s">
        <v>367</v>
      </c>
      <c r="B5">
        <v>80</v>
      </c>
      <c r="C5" t="s">
        <v>368</v>
      </c>
      <c r="E5" t="s">
        <v>369</v>
      </c>
      <c r="F5" t="s">
        <v>64</v>
      </c>
    </row>
    <row r="6" spans="1:6">
      <c r="A6" t="s">
        <v>370</v>
      </c>
      <c r="B6">
        <v>60</v>
      </c>
      <c r="C6" t="s">
        <v>371</v>
      </c>
      <c r="E6" t="s">
        <v>372</v>
      </c>
      <c r="F6" s="12">
        <v>46243</v>
      </c>
    </row>
    <row r="7" spans="1:6">
      <c r="A7" t="s">
        <v>373</v>
      </c>
      <c r="B7">
        <v>35</v>
      </c>
      <c r="C7" t="s">
        <v>374</v>
      </c>
    </row>
    <row r="8" spans="1:6">
      <c r="A8" t="s">
        <v>375</v>
      </c>
      <c r="B8">
        <v>0</v>
      </c>
      <c r="C8" t="s">
        <v>376</v>
      </c>
      <c r="E8" s="1" t="s">
        <v>377</v>
      </c>
      <c r="F8" s="1" t="s">
        <v>378</v>
      </c>
    </row>
    <row r="9" spans="1:6">
      <c r="E9" t="s">
        <v>379</v>
      </c>
      <c r="F9" t="s">
        <v>380</v>
      </c>
    </row>
    <row r="10" spans="1:6">
      <c r="A10" s="1" t="s">
        <v>381</v>
      </c>
      <c r="B10" s="1" t="s">
        <v>382</v>
      </c>
      <c r="C10" s="1" t="s">
        <v>383</v>
      </c>
      <c r="D10" s="1" t="s">
        <v>384</v>
      </c>
      <c r="E10" t="s">
        <v>385</v>
      </c>
      <c r="F10" t="s">
        <v>386</v>
      </c>
    </row>
    <row r="11" spans="1:6">
      <c r="A11" t="s">
        <v>387</v>
      </c>
      <c r="B11">
        <v>30</v>
      </c>
      <c r="C11" s="13"/>
      <c r="D11" t="s">
        <v>388</v>
      </c>
    </row>
    <row r="12" spans="1:6">
      <c r="A12" t="s">
        <v>389</v>
      </c>
      <c r="B12">
        <v>25</v>
      </c>
      <c r="C12" s="13">
        <v>0.9</v>
      </c>
      <c r="D12" t="s">
        <v>390</v>
      </c>
    </row>
    <row r="13" spans="1:6">
      <c r="A13" t="s">
        <v>391</v>
      </c>
      <c r="B13">
        <v>20</v>
      </c>
      <c r="C13" s="13">
        <v>0.7</v>
      </c>
      <c r="D13" t="s">
        <v>392</v>
      </c>
    </row>
    <row r="14" spans="1:6">
      <c r="A14" t="s">
        <v>393</v>
      </c>
      <c r="B14">
        <v>15</v>
      </c>
      <c r="C14" s="13">
        <v>0.3</v>
      </c>
      <c r="D14" t="s">
        <v>394</v>
      </c>
    </row>
    <row r="15" spans="1:6">
      <c r="A15" t="s">
        <v>395</v>
      </c>
      <c r="B15">
        <v>10</v>
      </c>
      <c r="C15" s="13"/>
      <c r="D15" t="s">
        <v>396</v>
      </c>
    </row>
    <row r="16" spans="1:6">
      <c r="A16" s="1" t="s">
        <v>397</v>
      </c>
      <c r="B16" s="1" t="s">
        <v>382</v>
      </c>
      <c r="C16" s="1" t="s">
        <v>383</v>
      </c>
      <c r="D16" s="1" t="s">
        <v>384</v>
      </c>
    </row>
    <row r="17" spans="1:4">
      <c r="A17" t="s">
        <v>398</v>
      </c>
      <c r="B17">
        <v>20</v>
      </c>
      <c r="D17" t="s">
        <v>399</v>
      </c>
    </row>
    <row r="18" spans="1:4">
      <c r="A18" t="s">
        <v>400</v>
      </c>
      <c r="B18">
        <v>10</v>
      </c>
      <c r="D18" t="s">
        <v>401</v>
      </c>
    </row>
    <row r="19" spans="1:4">
      <c r="A19" t="s">
        <v>402</v>
      </c>
      <c r="B19">
        <v>0</v>
      </c>
      <c r="D19" t="s">
        <v>403</v>
      </c>
    </row>
    <row r="20" spans="1:4">
      <c r="A20" s="1" t="s">
        <v>404</v>
      </c>
      <c r="B20" s="1" t="s">
        <v>382</v>
      </c>
      <c r="C20" s="1" t="s">
        <v>383</v>
      </c>
      <c r="D20" s="1" t="s">
        <v>384</v>
      </c>
    </row>
    <row r="21" spans="1:4">
      <c r="A21" t="s">
        <v>405</v>
      </c>
      <c r="B21">
        <v>0</v>
      </c>
      <c r="D21" t="s">
        <v>406</v>
      </c>
    </row>
    <row r="22" spans="1:4">
      <c r="A22" t="s">
        <v>407</v>
      </c>
      <c r="B22">
        <v>20</v>
      </c>
      <c r="C22" s="14">
        <v>9</v>
      </c>
      <c r="D22" t="s">
        <v>408</v>
      </c>
    </row>
    <row r="23" spans="1:4">
      <c r="A23" t="s">
        <v>409</v>
      </c>
      <c r="B23">
        <v>15</v>
      </c>
      <c r="C23" s="14">
        <v>7</v>
      </c>
      <c r="D23" t="s">
        <v>410</v>
      </c>
    </row>
    <row r="24" spans="1:4">
      <c r="A24" t="s">
        <v>411</v>
      </c>
      <c r="B24">
        <v>10</v>
      </c>
      <c r="D24" t="s">
        <v>412</v>
      </c>
    </row>
    <row r="25" spans="1:4">
      <c r="A25" s="1" t="s">
        <v>413</v>
      </c>
      <c r="B25" s="1" t="s">
        <v>382</v>
      </c>
      <c r="C25" s="1" t="s">
        <v>383</v>
      </c>
      <c r="D25" s="1" t="s">
        <v>384</v>
      </c>
    </row>
    <row r="26" spans="1:4">
      <c r="A26" t="s">
        <v>414</v>
      </c>
      <c r="B26">
        <v>15</v>
      </c>
      <c r="D26" t="s">
        <v>415</v>
      </c>
    </row>
    <row r="27" spans="1:4">
      <c r="A27" t="s">
        <v>416</v>
      </c>
      <c r="B27">
        <v>10</v>
      </c>
      <c r="D27" t="s">
        <v>417</v>
      </c>
    </row>
    <row r="28" spans="1:4">
      <c r="A28" t="s">
        <v>418</v>
      </c>
      <c r="B28">
        <v>5</v>
      </c>
      <c r="D28" t="s">
        <v>419</v>
      </c>
    </row>
    <row r="29" spans="1:4">
      <c r="A29" t="s">
        <v>420</v>
      </c>
      <c r="B29">
        <v>2</v>
      </c>
      <c r="D29" t="s">
        <v>421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4"/>
  <sheetViews>
    <sheetView showGridLines="0" workbookViewId="0"/>
  </sheetViews>
  <sheetFormatPr defaultRowHeight="15"/>
  <cols>
    <col min="1" max="1" width="28" customWidth="1"/>
    <col min="2" max="2" width="20" customWidth="1"/>
    <col min="3" max="3" width="28" customWidth="1"/>
    <col min="4" max="4" width="30" customWidth="1"/>
    <col min="5" max="5" width="48" customWidth="1"/>
    <col min="6" max="6" width="42" customWidth="1"/>
  </cols>
  <sheetData>
    <row r="1" spans="1:6" ht="27.95" customHeight="1">
      <c r="A1" s="15" t="s">
        <v>422</v>
      </c>
      <c r="B1" s="17"/>
      <c r="C1" s="17"/>
      <c r="D1" s="17"/>
      <c r="E1" s="17"/>
      <c r="F1" s="17"/>
    </row>
    <row r="2" spans="1:6" ht="33.950000000000003" customHeight="1">
      <c r="A2" s="16" t="s">
        <v>423</v>
      </c>
      <c r="B2" s="17"/>
      <c r="C2" s="17"/>
      <c r="D2" s="17"/>
      <c r="E2" s="17"/>
      <c r="F2" s="17"/>
    </row>
    <row r="4" spans="1:6">
      <c r="A4" s="1" t="s">
        <v>424</v>
      </c>
      <c r="B4" s="1" t="s">
        <v>425</v>
      </c>
      <c r="C4" s="1" t="s">
        <v>426</v>
      </c>
      <c r="D4" s="1" t="s">
        <v>427</v>
      </c>
      <c r="E4" s="1" t="s">
        <v>428</v>
      </c>
      <c r="F4" s="1" t="s">
        <v>429</v>
      </c>
    </row>
    <row r="5" spans="1:6">
      <c r="A5" s="5" t="s">
        <v>4</v>
      </c>
      <c r="B5" s="5" t="s">
        <v>354</v>
      </c>
      <c r="C5" s="5" t="s">
        <v>49</v>
      </c>
      <c r="D5" s="5" t="s">
        <v>430</v>
      </c>
      <c r="E5" s="5" t="s">
        <v>431</v>
      </c>
      <c r="F5" s="5" t="s">
        <v>432</v>
      </c>
    </row>
    <row r="6" spans="1:6">
      <c r="A6" s="5" t="s">
        <v>7</v>
      </c>
      <c r="B6" s="5" t="s">
        <v>354</v>
      </c>
      <c r="C6" s="5" t="s">
        <v>52</v>
      </c>
      <c r="D6" s="5" t="s">
        <v>433</v>
      </c>
      <c r="E6" s="5" t="s">
        <v>434</v>
      </c>
      <c r="F6" s="5" t="s">
        <v>435</v>
      </c>
    </row>
    <row r="7" spans="1:6">
      <c r="A7" s="5" t="s">
        <v>8</v>
      </c>
      <c r="B7" s="5" t="s">
        <v>354</v>
      </c>
      <c r="C7" s="5" t="s">
        <v>53</v>
      </c>
      <c r="D7" s="5" t="s">
        <v>436</v>
      </c>
      <c r="E7" s="5" t="s">
        <v>437</v>
      </c>
      <c r="F7" s="5" t="s">
        <v>438</v>
      </c>
    </row>
    <row r="8" spans="1:6">
      <c r="A8" s="5" t="s">
        <v>12</v>
      </c>
      <c r="B8" s="5" t="s">
        <v>332</v>
      </c>
      <c r="C8" s="5">
        <v>10</v>
      </c>
      <c r="D8" s="5" t="s">
        <v>439</v>
      </c>
      <c r="E8" s="5" t="s">
        <v>440</v>
      </c>
      <c r="F8" s="5" t="s">
        <v>441</v>
      </c>
    </row>
    <row r="9" spans="1:6">
      <c r="A9" s="5" t="s">
        <v>14</v>
      </c>
      <c r="B9" s="5" t="s">
        <v>332</v>
      </c>
      <c r="C9" s="5">
        <v>0.99999000000000005</v>
      </c>
      <c r="D9" s="5" t="s">
        <v>381</v>
      </c>
      <c r="E9" s="5" t="s">
        <v>442</v>
      </c>
      <c r="F9" s="5" t="s">
        <v>443</v>
      </c>
    </row>
    <row r="10" spans="1:6">
      <c r="A10" s="5" t="s">
        <v>16</v>
      </c>
      <c r="B10" s="5" t="s">
        <v>332</v>
      </c>
      <c r="C10" s="5">
        <v>1</v>
      </c>
      <c r="D10" s="5" t="s">
        <v>444</v>
      </c>
      <c r="E10" s="5" t="s">
        <v>445</v>
      </c>
      <c r="F10" s="5" t="s">
        <v>446</v>
      </c>
    </row>
    <row r="11" spans="1:6">
      <c r="A11" s="5" t="s">
        <v>18</v>
      </c>
      <c r="B11" s="5" t="s">
        <v>447</v>
      </c>
      <c r="C11" s="6" t="b">
        <v>1</v>
      </c>
      <c r="D11" s="5" t="s">
        <v>448</v>
      </c>
      <c r="E11" s="5" t="s">
        <v>449</v>
      </c>
      <c r="F11" s="5" t="s">
        <v>450</v>
      </c>
    </row>
    <row r="12" spans="1:6">
      <c r="A12" s="5" t="s">
        <v>19</v>
      </c>
      <c r="B12" s="5" t="s">
        <v>447</v>
      </c>
      <c r="C12" s="6" t="b">
        <v>1</v>
      </c>
      <c r="D12" s="5" t="s">
        <v>397</v>
      </c>
      <c r="E12" s="5" t="s">
        <v>451</v>
      </c>
      <c r="F12" s="5" t="s">
        <v>452</v>
      </c>
    </row>
    <row r="13" spans="1:6">
      <c r="A13" s="5" t="s">
        <v>21</v>
      </c>
      <c r="B13" s="5" t="s">
        <v>447</v>
      </c>
      <c r="C13" s="6" t="b">
        <v>1</v>
      </c>
      <c r="D13" s="5" t="s">
        <v>453</v>
      </c>
      <c r="E13" s="5" t="s">
        <v>454</v>
      </c>
      <c r="F13" s="5" t="s">
        <v>455</v>
      </c>
    </row>
    <row r="14" spans="1:6">
      <c r="A14" s="5" t="s">
        <v>23</v>
      </c>
      <c r="B14" s="5" t="s">
        <v>447</v>
      </c>
      <c r="C14" s="6" t="b">
        <v>1</v>
      </c>
      <c r="D14" s="5" t="s">
        <v>397</v>
      </c>
      <c r="E14" s="5" t="s">
        <v>456</v>
      </c>
      <c r="F14" s="5" t="s">
        <v>457</v>
      </c>
    </row>
    <row r="15" spans="1:6">
      <c r="A15" s="5" t="s">
        <v>25</v>
      </c>
      <c r="B15" s="5" t="s">
        <v>458</v>
      </c>
      <c r="C15" s="5" t="s">
        <v>59</v>
      </c>
      <c r="D15" s="5" t="s">
        <v>459</v>
      </c>
      <c r="E15" s="5" t="s">
        <v>460</v>
      </c>
      <c r="F15" s="5" t="s">
        <v>461</v>
      </c>
    </row>
    <row r="16" spans="1:6">
      <c r="A16" s="5" t="s">
        <v>27</v>
      </c>
      <c r="B16" s="5" t="s">
        <v>462</v>
      </c>
      <c r="C16" s="5" t="s">
        <v>463</v>
      </c>
      <c r="D16" s="5" t="s">
        <v>464</v>
      </c>
      <c r="E16" s="5" t="s">
        <v>465</v>
      </c>
      <c r="F16" s="5" t="s">
        <v>466</v>
      </c>
    </row>
    <row r="17" spans="1:6">
      <c r="A17" s="5" t="s">
        <v>32</v>
      </c>
      <c r="B17" s="5" t="s">
        <v>354</v>
      </c>
      <c r="C17" s="5" t="s">
        <v>63</v>
      </c>
      <c r="D17" s="5" t="s">
        <v>467</v>
      </c>
      <c r="E17" s="5" t="s">
        <v>468</v>
      </c>
      <c r="F17" s="5" t="s">
        <v>469</v>
      </c>
    </row>
    <row r="18" spans="1:6">
      <c r="A18" s="5" t="s">
        <v>33</v>
      </c>
      <c r="B18" s="5" t="s">
        <v>354</v>
      </c>
      <c r="C18" s="5" t="s">
        <v>64</v>
      </c>
      <c r="D18" s="5" t="s">
        <v>470</v>
      </c>
      <c r="E18" s="5" t="s">
        <v>471</v>
      </c>
      <c r="F18" s="5" t="s">
        <v>472</v>
      </c>
    </row>
    <row r="19" spans="1:6">
      <c r="A19" s="5" t="s">
        <v>34</v>
      </c>
      <c r="B19" s="5" t="s">
        <v>473</v>
      </c>
      <c r="C19" s="5" t="s">
        <v>474</v>
      </c>
      <c r="D19" s="5" t="s">
        <v>475</v>
      </c>
      <c r="E19" s="5" t="s">
        <v>476</v>
      </c>
      <c r="F19" s="5" t="s">
        <v>477</v>
      </c>
    </row>
    <row r="20" spans="1:6">
      <c r="A20" s="5" t="s">
        <v>35</v>
      </c>
      <c r="B20" s="5" t="s">
        <v>478</v>
      </c>
      <c r="C20" s="6" t="b">
        <v>1</v>
      </c>
      <c r="D20" s="5" t="s">
        <v>479</v>
      </c>
      <c r="E20" s="5" t="s">
        <v>480</v>
      </c>
      <c r="F20" s="5" t="s">
        <v>481</v>
      </c>
    </row>
    <row r="21" spans="1:6">
      <c r="A21" s="5" t="s">
        <v>40</v>
      </c>
      <c r="B21" s="5" t="s">
        <v>482</v>
      </c>
      <c r="C21" s="5">
        <v>100</v>
      </c>
      <c r="D21" s="5" t="s">
        <v>483</v>
      </c>
      <c r="E21" s="5" t="s">
        <v>484</v>
      </c>
      <c r="F21" s="5" t="s">
        <v>485</v>
      </c>
    </row>
    <row r="22" spans="1:6">
      <c r="A22" s="5" t="s">
        <v>41</v>
      </c>
      <c r="B22" s="5" t="s">
        <v>486</v>
      </c>
      <c r="C22" s="5" t="s">
        <v>367</v>
      </c>
      <c r="D22" s="5" t="s">
        <v>487</v>
      </c>
      <c r="E22" s="5" t="s">
        <v>488</v>
      </c>
      <c r="F22" s="5" t="s">
        <v>489</v>
      </c>
    </row>
    <row r="23" spans="1:6">
      <c r="A23" s="5" t="s">
        <v>42</v>
      </c>
      <c r="B23" s="5" t="s">
        <v>486</v>
      </c>
      <c r="C23" s="5" t="s">
        <v>490</v>
      </c>
      <c r="D23" s="5" t="s">
        <v>487</v>
      </c>
      <c r="E23" s="5" t="s">
        <v>491</v>
      </c>
      <c r="F23" s="5" t="s">
        <v>492</v>
      </c>
    </row>
    <row r="24" spans="1:6">
      <c r="A24" s="5" t="s">
        <v>44</v>
      </c>
      <c r="B24" s="5" t="s">
        <v>486</v>
      </c>
      <c r="C24" s="5" t="s">
        <v>493</v>
      </c>
      <c r="D24" s="5" t="s">
        <v>494</v>
      </c>
      <c r="E24" s="5" t="s">
        <v>495</v>
      </c>
      <c r="F24" s="5" t="s">
        <v>496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"/>
  <sheetViews>
    <sheetView showGridLines="0" workbookViewId="0"/>
  </sheetViews>
  <sheetFormatPr defaultRowHeight="15"/>
  <cols>
    <col min="1" max="1" width="32" customWidth="1"/>
    <col min="2" max="2" width="24" customWidth="1"/>
    <col min="3" max="3" width="16" customWidth="1"/>
    <col min="4" max="4" width="32" customWidth="1"/>
    <col min="5" max="5" width="20" customWidth="1"/>
    <col min="6" max="6" width="26" customWidth="1"/>
  </cols>
  <sheetData>
    <row r="1" spans="1:6" ht="27.95" customHeight="1">
      <c r="A1" s="15" t="s">
        <v>497</v>
      </c>
      <c r="B1" s="17"/>
      <c r="C1" s="17"/>
      <c r="D1" s="17"/>
      <c r="E1" s="17"/>
      <c r="F1" s="17"/>
    </row>
    <row r="2" spans="1:6" ht="33.950000000000003" customHeight="1">
      <c r="A2" s="16" t="s">
        <v>498</v>
      </c>
      <c r="B2" s="17"/>
      <c r="C2" s="17"/>
      <c r="D2" s="17"/>
      <c r="E2" s="17"/>
      <c r="F2" s="17"/>
    </row>
    <row r="4" spans="1:6">
      <c r="A4" s="1" t="s">
        <v>499</v>
      </c>
      <c r="B4" s="1" t="s">
        <v>324</v>
      </c>
      <c r="D4" s="1" t="s">
        <v>499</v>
      </c>
      <c r="E4" s="1" t="s">
        <v>324</v>
      </c>
    </row>
    <row r="5" spans="1:6">
      <c r="A5" t="s">
        <v>500</v>
      </c>
      <c r="B5">
        <f>COUNTA(Test_Cases!$A$5:$A$24)</f>
        <v>20</v>
      </c>
      <c r="D5" t="s">
        <v>501</v>
      </c>
      <c r="E5">
        <f>COUNTIF(Test_Cases!$AO$5:$AO$24,"FINAL")</f>
        <v>16</v>
      </c>
    </row>
    <row r="6" spans="1:6">
      <c r="A6" t="s">
        <v>502</v>
      </c>
      <c r="B6">
        <f>COUNTIF(Test_Cases!$AN$5:$AN$24,"P0")</f>
        <v>5</v>
      </c>
      <c r="D6" t="s">
        <v>503</v>
      </c>
      <c r="E6">
        <f>COUNTIF(Test_Cases!$AO$5:$AO$24,"NEEDS_REVIEW")</f>
        <v>4</v>
      </c>
    </row>
    <row r="7" spans="1:6">
      <c r="A7" t="s">
        <v>504</v>
      </c>
      <c r="B7">
        <f>COUNTIF(Test_Cases!$AN$5:$AN$24,"P1")</f>
        <v>5</v>
      </c>
      <c r="D7" t="s">
        <v>505</v>
      </c>
      <c r="E7">
        <f>SUMPRODUCT(--(Test_Cases!$AH$5:$AH$24=TRUE))</f>
        <v>5</v>
      </c>
    </row>
    <row r="8" spans="1:6">
      <c r="A8" t="s">
        <v>506</v>
      </c>
      <c r="B8">
        <f>COUNTIF(Test_Cases!$AN$5:$AN$24,"P2")</f>
        <v>4</v>
      </c>
      <c r="D8" t="s">
        <v>507</v>
      </c>
      <c r="E8">
        <f>COUNTIF(Test_Cases!$AQ$5:$AQ$24,"UPSERT_TICKET")</f>
        <v>10</v>
      </c>
    </row>
    <row r="9" spans="1:6">
      <c r="A9" t="s">
        <v>508</v>
      </c>
      <c r="B9">
        <f>COUNTIF(Test_Cases!$AN$5:$AN$24,"P3")</f>
        <v>2</v>
      </c>
      <c r="D9" t="s">
        <v>509</v>
      </c>
      <c r="E9">
        <f>COUNTIF(Test_Cases!$AQ$5:$AQ$24,"REVIEW_QUEUE")</f>
        <v>4</v>
      </c>
    </row>
    <row r="10" spans="1:6">
      <c r="A10" t="s">
        <v>510</v>
      </c>
      <c r="B10">
        <f>COUNTIF(Test_Cases!$AN$5:$AN$24,"REVIEW")</f>
        <v>4</v>
      </c>
    </row>
    <row r="12" spans="1:6">
      <c r="A12" t="s">
        <v>511</v>
      </c>
      <c r="B12" t="s">
        <v>512</v>
      </c>
    </row>
    <row r="13" spans="1:6">
      <c r="A13" t="s">
        <v>513</v>
      </c>
      <c r="B13" t="s">
        <v>514</v>
      </c>
    </row>
    <row r="14" spans="1:6">
      <c r="A14" t="s">
        <v>515</v>
      </c>
      <c r="B14" t="s">
        <v>516</v>
      </c>
    </row>
    <row r="15" spans="1:6">
      <c r="A15" t="s">
        <v>517</v>
      </c>
      <c r="B15" t="s">
        <v>518</v>
      </c>
    </row>
    <row r="18" spans="1:6">
      <c r="A18" s="17" t="s">
        <v>519</v>
      </c>
      <c r="B18" s="17"/>
      <c r="C18" s="17"/>
      <c r="D18" s="17"/>
      <c r="E18" s="17"/>
      <c r="F18" s="17"/>
    </row>
  </sheetData>
  <mergeCells count="3">
    <mergeCell ref="A1:F1"/>
    <mergeCell ref="A2:F2"/>
    <mergeCell ref="A18:F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2026-08-17T10:16:10Z</dcterms:created>
  <dcterms:modified xsi:type="dcterms:W3CDTF">2026-08-17T10:16:10Z</dcterms:modified>
  <cp:category/>
  <cp:contentStatus/>
</cp:coreProperties>
</file>